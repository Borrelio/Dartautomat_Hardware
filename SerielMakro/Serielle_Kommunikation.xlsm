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Sven Borowski\Documents\Getränkeautomat\"/>
    </mc:Choice>
  </mc:AlternateContent>
  <xr:revisionPtr revIDLastSave="0" documentId="13_ncr:1_{B3F73451-DF16-4F3C-BBD8-ED3B215171C2}" xr6:coauthVersionLast="47" xr6:coauthVersionMax="47" xr10:uidLastSave="{00000000-0000-0000-0000-000000000000}"/>
  <bookViews>
    <workbookView xWindow="28680" yWindow="-120" windowWidth="19440" windowHeight="15150" activeTab="2" xr2:uid="{2C099CF9-C25C-4963-B0BB-25F701D4BD0A}"/>
  </bookViews>
  <sheets>
    <sheet name="Übersicht" sheetId="1" r:id="rId1"/>
    <sheet name="LE" sheetId="73" r:id="rId2"/>
    <sheet name="MC01" sheetId="21" r:id="rId3"/>
  </sheets>
  <definedNames>
    <definedName name="_xlnm._FilterDatabase" localSheetId="2" hidden="1">'MC01'!$C$42:$C$74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8" i="21" l="1"/>
  <c r="B178" i="21" l="1"/>
  <c r="B179" i="21"/>
  <c r="B180" i="21"/>
  <c r="B181" i="21"/>
  <c r="B182" i="21"/>
  <c r="B183" i="21"/>
  <c r="B184" i="21"/>
  <c r="B185" i="21"/>
  <c r="B186" i="21"/>
  <c r="B187" i="21"/>
  <c r="B188" i="21"/>
  <c r="B189" i="21"/>
  <c r="B190" i="21"/>
  <c r="B134" i="21"/>
  <c r="B140" i="21"/>
  <c r="B145" i="21"/>
  <c r="B146" i="21"/>
  <c r="B147" i="21"/>
  <c r="B148" i="21"/>
  <c r="B149" i="21"/>
  <c r="B150" i="21"/>
  <c r="B151" i="21"/>
  <c r="B152" i="21"/>
  <c r="B153" i="21"/>
  <c r="B154" i="21"/>
  <c r="B155" i="21"/>
  <c r="B117" i="21"/>
  <c r="A81" i="21"/>
  <c r="B160" i="21" s="1"/>
  <c r="A82" i="21"/>
  <c r="B126" i="21" s="1"/>
  <c r="A83" i="21"/>
  <c r="B162" i="21" s="1"/>
  <c r="A84" i="21"/>
  <c r="B128" i="21" s="1"/>
  <c r="A85" i="21"/>
  <c r="B164" i="21" s="1"/>
  <c r="A86" i="21"/>
  <c r="B165" i="21" s="1"/>
  <c r="A87" i="21"/>
  <c r="B166" i="21" s="1"/>
  <c r="A88" i="21"/>
  <c r="B132" i="21" s="1"/>
  <c r="A89" i="21"/>
  <c r="B133" i="21" s="1"/>
  <c r="A90" i="21"/>
  <c r="B169" i="21" s="1"/>
  <c r="A91" i="21"/>
  <c r="B135" i="21" s="1"/>
  <c r="A92" i="21"/>
  <c r="B136" i="21" s="1"/>
  <c r="A93" i="21"/>
  <c r="B137" i="21" s="1"/>
  <c r="A94" i="21"/>
  <c r="B173" i="21" s="1"/>
  <c r="A95" i="21"/>
  <c r="B174" i="21" s="1"/>
  <c r="A96" i="21"/>
  <c r="B175" i="21" s="1"/>
  <c r="A97" i="21"/>
  <c r="B141" i="21" s="1"/>
  <c r="A98" i="21"/>
  <c r="B142" i="21" s="1"/>
  <c r="A99" i="21"/>
  <c r="B143" i="21" s="1"/>
  <c r="A100" i="21"/>
  <c r="B144" i="21" s="1"/>
  <c r="A101" i="21"/>
  <c r="A102" i="21"/>
  <c r="A103" i="21"/>
  <c r="A104" i="21"/>
  <c r="A105" i="21"/>
  <c r="A106" i="21"/>
  <c r="A107" i="21"/>
  <c r="A108" i="21"/>
  <c r="A109" i="21"/>
  <c r="A110" i="21"/>
  <c r="A111" i="21"/>
  <c r="A80" i="21"/>
  <c r="B80" i="21" s="1"/>
  <c r="B139" i="21" l="1"/>
  <c r="B138" i="21"/>
  <c r="B177" i="21"/>
  <c r="B176" i="21"/>
  <c r="B171" i="21"/>
  <c r="B129" i="21"/>
  <c r="B170" i="21"/>
  <c r="B172" i="21"/>
  <c r="B168" i="21"/>
  <c r="B167" i="21"/>
  <c r="B130" i="21"/>
  <c r="B131" i="21"/>
  <c r="B163" i="21"/>
  <c r="B124" i="21"/>
  <c r="B161" i="21"/>
  <c r="B127" i="21"/>
  <c r="B105" i="21"/>
  <c r="E105" i="21"/>
  <c r="B93" i="21"/>
  <c r="E93" i="21"/>
  <c r="B125" i="21"/>
  <c r="B81" i="21"/>
  <c r="E81" i="21"/>
  <c r="B110" i="21"/>
  <c r="E110" i="21"/>
  <c r="B104" i="21"/>
  <c r="E104" i="21"/>
  <c r="B98" i="21"/>
  <c r="E98" i="21"/>
  <c r="B92" i="21"/>
  <c r="E92" i="21"/>
  <c r="B86" i="21"/>
  <c r="E86" i="21"/>
  <c r="B109" i="21"/>
  <c r="E109" i="21"/>
  <c r="B103" i="21"/>
  <c r="E103" i="21"/>
  <c r="B97" i="21"/>
  <c r="E97" i="21"/>
  <c r="B91" i="21"/>
  <c r="E91" i="21"/>
  <c r="B85" i="21"/>
  <c r="E85" i="21"/>
  <c r="B108" i="21"/>
  <c r="E108" i="21"/>
  <c r="B102" i="21"/>
  <c r="E102" i="21"/>
  <c r="B96" i="21"/>
  <c r="E96" i="21"/>
  <c r="B90" i="21"/>
  <c r="E90" i="21"/>
  <c r="B84" i="21"/>
  <c r="E84" i="21"/>
  <c r="B106" i="21"/>
  <c r="E106" i="21"/>
  <c r="B100" i="21"/>
  <c r="E100" i="21"/>
  <c r="B94" i="21"/>
  <c r="E94" i="21"/>
  <c r="E88" i="21"/>
  <c r="B88" i="21"/>
  <c r="B111" i="21"/>
  <c r="E111" i="21"/>
  <c r="B99" i="21"/>
  <c r="E99" i="21"/>
  <c r="B87" i="21"/>
  <c r="E87" i="21"/>
  <c r="B107" i="21"/>
  <c r="E107" i="21"/>
  <c r="B101" i="21"/>
  <c r="E101" i="21"/>
  <c r="B95" i="21"/>
  <c r="E95" i="21"/>
  <c r="B89" i="21"/>
  <c r="E89" i="21"/>
  <c r="E83" i="21"/>
  <c r="B83" i="21"/>
  <c r="B82" i="21"/>
  <c r="E82" i="21"/>
  <c r="E80" i="21"/>
  <c r="B159" i="21"/>
</calcChain>
</file>

<file path=xl/sharedStrings.xml><?xml version="1.0" encoding="utf-8"?>
<sst xmlns="http://schemas.openxmlformats.org/spreadsheetml/2006/main" count="148" uniqueCount="94">
  <si>
    <t>Spezifikationen</t>
  </si>
  <si>
    <t>MC01</t>
  </si>
  <si>
    <t>Typ</t>
  </si>
  <si>
    <t>ID/Sr.Nr.</t>
  </si>
  <si>
    <t>Baudrate</t>
  </si>
  <si>
    <t>COM-PORT</t>
  </si>
  <si>
    <t>Kurzbeschreibung</t>
  </si>
  <si>
    <t>Aktorik</t>
  </si>
  <si>
    <t>Sensorik</t>
  </si>
  <si>
    <t>Funktionsbeschreibung</t>
  </si>
  <si>
    <t>Name Variable</t>
  </si>
  <si>
    <t>TYP</t>
  </si>
  <si>
    <t>Zugriff</t>
  </si>
  <si>
    <t>Beschreibung</t>
  </si>
  <si>
    <t>Default</t>
  </si>
  <si>
    <t>int</t>
  </si>
  <si>
    <t>lesen</t>
  </si>
  <si>
    <t>schreiben</t>
  </si>
  <si>
    <t>Räuberskizze/ CAD</t>
  </si>
  <si>
    <t>Notizen</t>
  </si>
  <si>
    <t>#include &lt;VSync.h&gt;</t>
  </si>
  <si>
    <t>Header</t>
  </si>
  <si>
    <t>Variablendeklaration</t>
  </si>
  <si>
    <t>einfügen der LIB, sowie Erstellung der Objekte mit Anzahl der jeweiligen Variablen</t>
  </si>
  <si>
    <t>Void Setup() Daten Senden</t>
  </si>
  <si>
    <t>Nicht manuell verändern!</t>
  </si>
  <si>
    <t>Void Setup() Daten Empfangen</t>
  </si>
  <si>
    <t>Pfad:</t>
  </si>
  <si>
    <t>C:\Users\Sven Borowski\Downloads</t>
  </si>
  <si>
    <t>Serielle Kommunikation mit Mikrocontroller</t>
  </si>
  <si>
    <t>Als Grundlage dient die Kommunikations Library VSync:</t>
  </si>
  <si>
    <t>Processing:</t>
  </si>
  <si>
    <t>https://github.com/ernestum/VSync-for-Processing</t>
  </si>
  <si>
    <t>Arduino:</t>
  </si>
  <si>
    <t>https://github.com/ernestum/VSync</t>
  </si>
  <si>
    <t>Kommunikationsrichtungen:</t>
  </si>
  <si>
    <t>MC - Microcontroller</t>
  </si>
  <si>
    <t>LE - Leitebene</t>
  </si>
  <si>
    <t>BC - Broadcast MC</t>
  </si>
  <si>
    <t>MC -&gt; LE</t>
  </si>
  <si>
    <t>…Nachricht vom Microcontroller zur Leitebene</t>
  </si>
  <si>
    <t>LE -&gt; MC</t>
  </si>
  <si>
    <t>…Nachricht von Leitebene an bestimmten Microcontroller</t>
  </si>
  <si>
    <t>LE -&gt; BC</t>
  </si>
  <si>
    <t>…Nachricht von Leitebene an alle Microcontroller</t>
  </si>
  <si>
    <t>Funktionsweise des Dokuments:</t>
  </si>
  <si>
    <t>Durch die Bearbeitung (grüne Felder) der einzelnen Schnittstellen des Microcontrollers wird automatisch der</t>
  </si>
  <si>
    <t>Quellcode für den Microcontroller (SLAVE) und der Processsing IDE (MASTER) erstellt.</t>
  </si>
  <si>
    <t>Dadurch kann die Konsistenz der Schnittstelle zwischen LE un MC gewährleistet werden.</t>
  </si>
  <si>
    <t>Die gemeinsam genutzen globalen Variablen werden dabei automatisch Synchronisiert.</t>
  </si>
  <si>
    <t>~</t>
  </si>
  <si>
    <t>Arduino Nano</t>
  </si>
  <si>
    <t>Ansteuerung der Fotobox- Hardware</t>
  </si>
  <si>
    <t>RGB LED</t>
  </si>
  <si>
    <t>LED Taster</t>
  </si>
  <si>
    <t>Der Ardunino Nano dient als Schnittstelle zum Processing Programm unter Lubuntu, wobei eine Fotobox realisiert wird.Die Hauptaufgabe ist die Steuereung der Auslösung der Spiegelreflexkamera. Dies passiert ueber ein Relais. Über einen Taster mit integrierter LED lässt sich das Relais über eine Zeitverzögerung ansteuern. Die Freigabe kommt dabei vom übergeordneten Processing Sketch. Der Taster zeigt mit dem verschiedenen LED Status an, ob eine Eingabe erfolgen kann ( an, blinken, aus ). Zur Einstellung der Kamera wird ein Ausloesetaster realisiert, der das Relais direkt betätigt. Beim Ausloesen wird ein RGB LED Streifen angesteuert und wirkt als "Blitz". Dieser kann in seinen Farben waehrend der Laufzeit verstellt werden.</t>
  </si>
  <si>
    <t>Taster bei 0 betaetigt und bei 1 in Ruhelage</t>
  </si>
  <si>
    <t>Bei 0 Led aus, 1 Led blinkt und 2 Led an</t>
  </si>
  <si>
    <t xml:space="preserve">Bei 0 Relais nicht angesteuert, bei 1 angesteuert </t>
  </si>
  <si>
    <t>RGB_R</t>
  </si>
  <si>
    <t>Wert von 0-254, bei 0 ROT ist aus</t>
  </si>
  <si>
    <t>RGB_G</t>
  </si>
  <si>
    <t>RGB_B</t>
  </si>
  <si>
    <t>Wert von 0-254, bei 0 GRUEN ist aus</t>
  </si>
  <si>
    <t>Wert von 0-254, bei 0 BLAU ist aus</t>
  </si>
  <si>
    <t>Reserve1</t>
  </si>
  <si>
    <t>Reserve2</t>
  </si>
  <si>
    <t>Reserve3</t>
  </si>
  <si>
    <t>Reserve4</t>
  </si>
  <si>
    <t>…</t>
  </si>
  <si>
    <t>vorher sortieren nach Zugriff ( lesen/ schreiben )</t>
  </si>
  <si>
    <t>Praesenz</t>
  </si>
  <si>
    <t>Bei 1 Praesenz Aktiv, bei 2 keine Praesenz</t>
  </si>
  <si>
    <t>Taster_links</t>
  </si>
  <si>
    <t>Taster_rechts</t>
  </si>
  <si>
    <t>Taster_links_LED</t>
  </si>
  <si>
    <t>Taster_rechts_LED</t>
  </si>
  <si>
    <t>Blitz</t>
  </si>
  <si>
    <t>Relais Fokusieren</t>
  </si>
  <si>
    <t>Relais Ausloeser</t>
  </si>
  <si>
    <t>COM11</t>
  </si>
  <si>
    <t>Relais_Ausloeser</t>
  </si>
  <si>
    <t>Relais_Fokus</t>
  </si>
  <si>
    <t>Taster_mitte</t>
  </si>
  <si>
    <t>Taster_mitte_LED</t>
  </si>
  <si>
    <t>Reserve5</t>
  </si>
  <si>
    <t>Reserve8</t>
  </si>
  <si>
    <t>Reserve7</t>
  </si>
  <si>
    <t>Reserve6</t>
  </si>
  <si>
    <t>Bei 1 Blitz ausgeloest, bei 0 nicht aktiv</t>
  </si>
  <si>
    <t>Taster Bedienung (links/rechts)</t>
  </si>
  <si>
    <t>Praesenzmelder</t>
  </si>
  <si>
    <t>Taster Ausloeser Test (nur intern)</t>
  </si>
  <si>
    <t>Taster Ausloesung  (mitte)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</si>
</sst>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b/>
      <sz val="28"/>
      <color theme="0" tint="-0.14999847407452621"/>
      <name val="Calibri"/>
      <family val="2"/>
      <scheme val="minor"/>
    </font>
    <font>
      <sz val="11"/>
      <color theme="1"/>
      <name val="Consolas"/>
      <family val="3"/>
    </font>
    <font>
      <sz val="11"/>
      <color theme="0" tint="-0.14999847407452621"/>
      <name val="Calibri"/>
      <family val="2"/>
      <scheme val="minor"/>
    </font>
    <font>
      <sz val="11"/>
      <color rgb="FF9C0006"/>
      <name val="Calibri"/>
      <family val="2"/>
      <scheme val="minor"/>
    </font>
    <font>
      <sz val="11"/>
      <color rgb="FF9C5700"/>
      <name val="Calibri"/>
      <family val="2"/>
      <scheme val="minor"/>
    </font>
    <font>
      <sz val="11"/>
      <color rgb="FF9C5700"/>
      <name val="Consolas"/>
      <family val="3"/>
    </font>
    <font>
      <b/>
      <sz val="36"/>
      <color theme="1"/>
      <name val="Calibri"/>
      <family val="2"/>
      <scheme val="minor"/>
    </font>
    <font>
      <sz val="11"/>
      <color rgb="FF000000"/>
      <name val="Calibri"/>
      <family val="2"/>
    </font>
    <font>
      <b/>
      <sz val="26"/>
      <color rgb="FF000000"/>
      <name val="Calibri"/>
      <family val="2"/>
    </font>
    <font>
      <sz val="11"/>
      <color theme="0" tint="-0.249977111117893"/>
      <name val="Calibri"/>
      <family val="2"/>
      <scheme val="minor"/>
    </font>
    <font>
      <b/>
      <sz val="24"/>
      <color theme="1"/>
      <name val="Calibri"/>
      <family val="2"/>
      <scheme val="minor"/>
    </font>
    <font>
      <sz val="24"/>
      <color theme="1"/>
      <name val="Calibri"/>
      <family val="2"/>
      <scheme val="minor"/>
    </font>
    <font>
      <u/>
      <sz val="11"/>
      <color theme="10"/>
      <name val="Calibri"/>
      <family val="2"/>
      <scheme val="minor"/>
    </font>
    <font>
      <sz val="11"/>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rgb="FFFFFFCC"/>
      </patternFill>
    </fill>
  </fills>
  <borders count="43">
    <border>
      <left/>
      <right/>
      <top/>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bottom/>
      <diagonal/>
    </border>
    <border>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DashDot">
        <color theme="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5">
    <xf numFmtId="0" fontId="0" fillId="0" borderId="0"/>
    <xf numFmtId="0" fontId="5" fillId="4" borderId="0" applyNumberFormat="0" applyBorder="0" applyAlignment="0" applyProtection="0"/>
    <xf numFmtId="0" fontId="6" fillId="5" borderId="0" applyNumberFormat="0" applyBorder="0" applyAlignment="0" applyProtection="0"/>
    <xf numFmtId="0" fontId="14" fillId="0" borderId="0" applyNumberFormat="0" applyFill="0" applyBorder="0" applyAlignment="0" applyProtection="0"/>
    <xf numFmtId="0" fontId="15" fillId="9" borderId="40" applyNumberFormat="0" applyFont="0" applyAlignment="0" applyProtection="0"/>
  </cellStyleXfs>
  <cellXfs count="91">
    <xf numFmtId="0" fontId="0" fillId="0" borderId="0" xfId="0"/>
    <xf numFmtId="0" fontId="0" fillId="0" borderId="0" xfId="0" applyBorder="1"/>
    <xf numFmtId="0" fontId="0" fillId="0" borderId="0" xfId="0"/>
    <xf numFmtId="0" fontId="1" fillId="0" borderId="0" xfId="0" applyFont="1"/>
    <xf numFmtId="0" fontId="0" fillId="0" borderId="23" xfId="0" applyBorder="1" applyAlignment="1">
      <alignment vertical="top"/>
    </xf>
    <xf numFmtId="0" fontId="0" fillId="0" borderId="20" xfId="0" applyBorder="1" applyAlignment="1">
      <alignment vertical="top"/>
    </xf>
    <xf numFmtId="0" fontId="0" fillId="3" borderId="9" xfId="0" applyFill="1" applyBorder="1"/>
    <xf numFmtId="0" fontId="0" fillId="3" borderId="11" xfId="0" applyFill="1" applyBorder="1"/>
    <xf numFmtId="0" fontId="0" fillId="3" borderId="12" xfId="0" applyFill="1" applyBorder="1"/>
    <xf numFmtId="0" fontId="0" fillId="3" borderId="13" xfId="0" applyFill="1" applyBorder="1"/>
    <xf numFmtId="0" fontId="0" fillId="3" borderId="14" xfId="0" applyFill="1" applyBorder="1"/>
    <xf numFmtId="0" fontId="0" fillId="3" borderId="16" xfId="0" applyFill="1" applyBorder="1"/>
    <xf numFmtId="0" fontId="0" fillId="3" borderId="10" xfId="0" applyFill="1" applyBorder="1"/>
    <xf numFmtId="0" fontId="0" fillId="3" borderId="0" xfId="0" applyFill="1" applyBorder="1"/>
    <xf numFmtId="0" fontId="0" fillId="3" borderId="15" xfId="0" applyFill="1" applyBorder="1"/>
    <xf numFmtId="0" fontId="4" fillId="0" borderId="0" xfId="0" applyFont="1"/>
    <xf numFmtId="0" fontId="3" fillId="2" borderId="17" xfId="0" applyFont="1" applyFill="1" applyBorder="1" applyAlignment="1">
      <alignment horizontal="left" vertical="center"/>
    </xf>
    <xf numFmtId="0" fontId="3" fillId="2" borderId="17" xfId="0" quotePrefix="1" applyFont="1" applyFill="1" applyBorder="1" applyAlignment="1">
      <alignment horizontal="left" vertical="center"/>
    </xf>
    <xf numFmtId="0" fontId="3" fillId="2" borderId="17" xfId="0" applyFont="1" applyFill="1" applyBorder="1" applyAlignment="1">
      <alignment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35" xfId="0" applyBorder="1"/>
    <xf numFmtId="0" fontId="0" fillId="6" borderId="0" xfId="0" applyFill="1"/>
    <xf numFmtId="0" fontId="0" fillId="7" borderId="2" xfId="0" applyFill="1" applyBorder="1"/>
    <xf numFmtId="0" fontId="0" fillId="7" borderId="3" xfId="0" applyFill="1" applyBorder="1"/>
    <xf numFmtId="0" fontId="0" fillId="7" borderId="0" xfId="0" applyFill="1" applyBorder="1"/>
    <xf numFmtId="0" fontId="0" fillId="7" borderId="5" xfId="0" applyFill="1" applyBorder="1"/>
    <xf numFmtId="0" fontId="0" fillId="7" borderId="7" xfId="0" applyFill="1" applyBorder="1"/>
    <xf numFmtId="0" fontId="0" fillId="7" borderId="8" xfId="0" applyFill="1" applyBorder="1"/>
    <xf numFmtId="0" fontId="0" fillId="0" borderId="0" xfId="0"/>
    <xf numFmtId="0" fontId="1" fillId="0" borderId="0" xfId="0" applyFont="1"/>
    <xf numFmtId="0" fontId="5" fillId="4" borderId="0" xfId="1"/>
    <xf numFmtId="0" fontId="7" fillId="8" borderId="0" xfId="2" applyFont="1" applyFill="1" applyBorder="1" applyAlignment="1">
      <alignment horizontal="left" vertical="center"/>
    </xf>
    <xf numFmtId="0" fontId="7" fillId="5" borderId="0" xfId="2" applyFont="1" applyBorder="1" applyAlignment="1">
      <alignment horizontal="left" vertical="center"/>
    </xf>
    <xf numFmtId="0" fontId="7" fillId="5" borderId="0" xfId="2" quotePrefix="1" applyFont="1" applyBorder="1" applyAlignment="1">
      <alignment horizontal="left" vertical="center"/>
    </xf>
    <xf numFmtId="0" fontId="7" fillId="5" borderId="0" xfId="2" applyFont="1"/>
    <xf numFmtId="0" fontId="7" fillId="5" borderId="0" xfId="2" applyFont="1" applyBorder="1" applyAlignment="1">
      <alignment vertical="center"/>
    </xf>
    <xf numFmtId="0" fontId="7" fillId="5" borderId="0" xfId="2" applyFont="1" applyBorder="1" applyAlignment="1">
      <alignment vertical="center" wrapText="1"/>
    </xf>
    <xf numFmtId="0" fontId="0" fillId="0" borderId="39" xfId="0" applyBorder="1"/>
    <xf numFmtId="0" fontId="3" fillId="2" borderId="20" xfId="0" applyFont="1" applyFill="1" applyBorder="1" applyAlignment="1">
      <alignment horizontal="left" vertical="center"/>
    </xf>
    <xf numFmtId="0" fontId="3" fillId="2" borderId="21" xfId="0" applyFont="1" applyFill="1" applyBorder="1" applyAlignment="1">
      <alignment horizontal="left" vertical="center"/>
    </xf>
    <xf numFmtId="0" fontId="3" fillId="2" borderId="21" xfId="0" quotePrefix="1" applyFont="1" applyFill="1" applyBorder="1" applyAlignment="1">
      <alignment horizontal="lef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3" fillId="2" borderId="24" xfId="0" applyFont="1" applyFill="1" applyBorder="1" applyAlignment="1">
      <alignment horizontal="left" vertical="center"/>
    </xf>
    <xf numFmtId="0" fontId="3" fillId="2" borderId="23" xfId="0" applyFont="1" applyFill="1" applyBorder="1" applyAlignment="1">
      <alignment vertical="center"/>
    </xf>
    <xf numFmtId="0" fontId="3" fillId="2" borderId="37" xfId="0" applyFont="1" applyFill="1" applyBorder="1" applyAlignment="1">
      <alignment vertical="center" wrapText="1"/>
    </xf>
    <xf numFmtId="0" fontId="3" fillId="2" borderId="38" xfId="0" applyFont="1" applyFill="1" applyBorder="1" applyAlignment="1">
      <alignment vertical="center"/>
    </xf>
    <xf numFmtId="0" fontId="3" fillId="2" borderId="38" xfId="0" applyFont="1" applyFill="1" applyBorder="1" applyAlignment="1">
      <alignment vertical="center" wrapText="1"/>
    </xf>
    <xf numFmtId="0" fontId="3" fillId="2" borderId="36" xfId="0" applyFont="1" applyFill="1" applyBorder="1" applyAlignment="1">
      <alignment vertical="center" wrapText="1"/>
    </xf>
    <xf numFmtId="0" fontId="8" fillId="0" borderId="0" xfId="0" applyFont="1"/>
    <xf numFmtId="0" fontId="11" fillId="0" borderId="0" xfId="0" applyFont="1"/>
    <xf numFmtId="0" fontId="0" fillId="0" borderId="0" xfId="0" applyAlignment="1">
      <alignment horizontal="left"/>
    </xf>
    <xf numFmtId="0" fontId="0" fillId="9" borderId="40" xfId="4" applyFont="1"/>
    <xf numFmtId="0" fontId="3" fillId="2" borderId="42" xfId="0" applyFont="1" applyFill="1" applyBorder="1" applyAlignment="1">
      <alignment vertical="center"/>
    </xf>
    <xf numFmtId="0" fontId="0" fillId="0" borderId="0" xfId="0" applyAlignment="1">
      <alignment horizontal="center"/>
    </xf>
    <xf numFmtId="0" fontId="2" fillId="7" borderId="1" xfId="0" applyFont="1" applyFill="1" applyBorder="1" applyAlignment="1">
      <alignment horizontal="center" vertical="center"/>
    </xf>
    <xf numFmtId="0" fontId="2" fillId="7" borderId="4" xfId="0" applyFont="1" applyFill="1" applyBorder="1" applyAlignment="1">
      <alignment horizontal="center" vertical="center"/>
    </xf>
    <xf numFmtId="0" fontId="2" fillId="7" borderId="6" xfId="0" applyFont="1" applyFill="1" applyBorder="1" applyAlignment="1">
      <alignment horizontal="center" vertical="center"/>
    </xf>
    <xf numFmtId="0" fontId="12" fillId="0" borderId="0" xfId="0" applyFont="1" applyAlignment="1">
      <alignment horizontal="left" vertical="center"/>
    </xf>
    <xf numFmtId="0" fontId="13" fillId="0" borderId="0" xfId="0" applyFont="1" applyAlignment="1">
      <alignment horizontal="left" vertical="center"/>
    </xf>
    <xf numFmtId="0" fontId="1" fillId="0" borderId="0" xfId="0" applyFont="1" applyAlignment="1">
      <alignment horizontal="left" vertical="center"/>
    </xf>
    <xf numFmtId="0" fontId="14" fillId="0" borderId="0" xfId="3" applyAlignment="1">
      <alignment horizontal="left"/>
    </xf>
    <xf numFmtId="0" fontId="0" fillId="2" borderId="17" xfId="0" applyFill="1" applyBorder="1" applyAlignment="1">
      <alignment horizontal="left" vertical="center"/>
    </xf>
    <xf numFmtId="0" fontId="0" fillId="2" borderId="24" xfId="0" applyFill="1" applyBorder="1" applyAlignment="1">
      <alignment horizontal="left" vertical="center"/>
    </xf>
    <xf numFmtId="0" fontId="0" fillId="0" borderId="26" xfId="0" applyBorder="1" applyAlignment="1">
      <alignment horizontal="left" vertical="top"/>
    </xf>
    <xf numFmtId="0" fontId="0" fillId="0" borderId="27" xfId="0" applyBorder="1" applyAlignment="1">
      <alignment horizontal="left" vertical="top"/>
    </xf>
    <xf numFmtId="0" fontId="0" fillId="0" borderId="29" xfId="0" applyBorder="1" applyAlignment="1">
      <alignment horizontal="left" vertical="top"/>
    </xf>
    <xf numFmtId="0" fontId="0" fillId="0" borderId="28" xfId="0" applyBorder="1" applyAlignment="1">
      <alignment horizontal="left" vertical="top"/>
    </xf>
    <xf numFmtId="0" fontId="0" fillId="2" borderId="30" xfId="0" applyFill="1" applyBorder="1" applyAlignment="1">
      <alignment horizontal="left" vertical="top" wrapText="1"/>
    </xf>
    <xf numFmtId="0" fontId="0" fillId="2" borderId="32" xfId="0" applyFill="1" applyBorder="1" applyAlignment="1">
      <alignment horizontal="left" vertical="top" wrapText="1"/>
    </xf>
    <xf numFmtId="0" fontId="0" fillId="2" borderId="33" xfId="0" applyFill="1" applyBorder="1" applyAlignment="1">
      <alignment horizontal="left" vertical="top" wrapText="1"/>
    </xf>
    <xf numFmtId="0" fontId="0" fillId="2" borderId="31" xfId="0" applyFill="1" applyBorder="1" applyAlignment="1">
      <alignment horizontal="left" vertical="top" wrapText="1"/>
    </xf>
    <xf numFmtId="0" fontId="0" fillId="2" borderId="0" xfId="0" applyFill="1" applyBorder="1" applyAlignment="1">
      <alignment horizontal="left" vertical="top" wrapText="1"/>
    </xf>
    <xf numFmtId="0" fontId="0" fillId="2" borderId="13" xfId="0" applyFill="1" applyBorder="1" applyAlignment="1">
      <alignment horizontal="left" vertical="top" wrapText="1"/>
    </xf>
    <xf numFmtId="0" fontId="0" fillId="2" borderId="34" xfId="0" applyFill="1" applyBorder="1" applyAlignment="1">
      <alignment horizontal="left" vertical="top" wrapText="1"/>
    </xf>
    <xf numFmtId="0" fontId="0" fillId="2" borderId="15" xfId="0" applyFill="1" applyBorder="1" applyAlignment="1">
      <alignment horizontal="left" vertical="top" wrapText="1"/>
    </xf>
    <xf numFmtId="0" fontId="0" fillId="2" borderId="16" xfId="0" applyFill="1" applyBorder="1" applyAlignment="1">
      <alignment horizontal="left" vertical="top" wrapText="1"/>
    </xf>
    <xf numFmtId="0" fontId="0" fillId="2" borderId="21" xfId="0" applyFill="1" applyBorder="1" applyAlignment="1">
      <alignment horizontal="left" vertical="center"/>
    </xf>
    <xf numFmtId="0" fontId="0" fillId="2" borderId="22" xfId="0" applyFill="1" applyBorder="1" applyAlignment="1">
      <alignment horizontal="left" vertical="center"/>
    </xf>
    <xf numFmtId="0" fontId="0" fillId="2" borderId="18" xfId="0" applyFill="1" applyBorder="1" applyAlignment="1">
      <alignment horizontal="left" vertical="center"/>
    </xf>
    <xf numFmtId="0" fontId="0" fillId="2" borderId="19" xfId="0" applyFill="1" applyBorder="1" applyAlignment="1">
      <alignment horizontal="left" vertical="center"/>
    </xf>
    <xf numFmtId="0" fontId="0" fillId="2" borderId="25" xfId="0" applyFill="1" applyBorder="1" applyAlignment="1">
      <alignment horizontal="left" vertical="center"/>
    </xf>
    <xf numFmtId="0" fontId="3" fillId="2" borderId="42" xfId="0" quotePrefix="1" applyFont="1" applyFill="1" applyBorder="1" applyAlignment="1">
      <alignment horizontal="left" vertical="center"/>
    </xf>
    <xf numFmtId="0" fontId="3" fillId="2" borderId="41" xfId="0" applyFont="1" applyFill="1" applyBorder="1" applyAlignment="1">
      <alignment horizontal="left" vertical="center"/>
    </xf>
  </cellXfs>
  <cellStyles count="5">
    <cellStyle name="Link" xfId="3" builtinId="8"/>
    <cellStyle name="Neutral" xfId="2" builtinId="28"/>
    <cellStyle name="Notiz" xfId="4" builtinId="10"/>
    <cellStyle name="Schlecht" xfId="1" builtinId="27"/>
    <cellStyle name="Standard" xfId="0" builtinId="0"/>
  </cellStyles>
  <dxfs count="0"/>
  <tableStyles count="0" defaultTableStyle="TableStyleMedium2" defaultPivotStyle="PivotStyleLight16"/>
  <colors>
    <mruColors>
      <color rgb="FF99FF66"/>
      <color rgb="FFDEFE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Spin" dx="22" fmlaLink="B7" max="9" min="1" page="1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6</xdr:row>
          <xdr:rowOff>0</xdr:rowOff>
        </xdr:from>
        <xdr:to>
          <xdr:col>2</xdr:col>
          <xdr:colOff>355600</xdr:colOff>
          <xdr:row>9</xdr:row>
          <xdr:rowOff>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355600</xdr:colOff>
          <xdr:row>6</xdr:row>
          <xdr:rowOff>0</xdr:rowOff>
        </xdr:from>
        <xdr:to>
          <xdr:col>6</xdr:col>
          <xdr:colOff>0</xdr:colOff>
          <xdr:row>9</xdr:row>
          <xdr:rowOff>0</xdr:rowOff>
        </xdr:to>
        <xdr:sp macro="" textlink="">
          <xdr:nvSpPr>
            <xdr:cNvPr id="1026" name="Button 2" descr="Neue Geräte anlege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Anzahl der Mikrocontroller</a:t>
              </a:r>
            </a:p>
          </xdr:txBody>
        </xdr:sp>
        <xdr:clientData fPrintsWithSheet="0"/>
      </xdr:twoCellAnchor>
    </mc:Choice>
    <mc:Fallback/>
  </mc:AlternateContent>
  <xdr:twoCellAnchor editAs="oneCell">
    <xdr:from>
      <xdr:col>0</xdr:col>
      <xdr:colOff>0</xdr:colOff>
      <xdr:row>9</xdr:row>
      <xdr:rowOff>160436</xdr:rowOff>
    </xdr:from>
    <xdr:to>
      <xdr:col>10</xdr:col>
      <xdr:colOff>0</xdr:colOff>
      <xdr:row>39</xdr:row>
      <xdr:rowOff>123256</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808261"/>
          <a:ext cx="7620000" cy="5392070"/>
        </a:xfrm>
        <a:prstGeom prst="rect">
          <a:avLst/>
        </a:prstGeom>
        <a:solidFill>
          <a:schemeClr val="bg1"/>
        </a:solidFill>
        <a:ln w="22225">
          <a:solidFill>
            <a:schemeClr val="tx1">
              <a:lumMod val="95000"/>
              <a:lumOff val="5000"/>
              <a:alpha val="48000"/>
            </a:schemeClr>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2</xdr:row>
          <xdr:rowOff>88900</xdr:rowOff>
        </xdr:from>
        <xdr:to>
          <xdr:col>3</xdr:col>
          <xdr:colOff>304800</xdr:colOff>
          <xdr:row>4</xdr:row>
          <xdr:rowOff>127000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JAVA Processing Quellcode erzeugen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266700</xdr:colOff>
          <xdr:row>194</xdr:row>
          <xdr:rowOff>57150</xdr:rowOff>
        </xdr:from>
        <xdr:to>
          <xdr:col>3</xdr:col>
          <xdr:colOff>1746250</xdr:colOff>
          <xdr:row>198</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de-DE" sz="2600" b="1" i="0" u="none" strike="noStrike" baseline="0">
                  <a:solidFill>
                    <a:srgbClr val="000000"/>
                  </a:solidFill>
                  <a:latin typeface="Calibri"/>
                  <a:cs typeface="Calibri"/>
                </a:rPr>
                <a:t>Arduino Quellcode erzeugen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ernestum/VSync" TargetMode="External"/><Relationship Id="rId1" Type="http://schemas.openxmlformats.org/officeDocument/2006/relationships/hyperlink" Target="https://github.com/ernestum/VSync-for-Processing"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8F70-90EB-4381-87E4-1A340FEA7690}">
  <sheetPr codeName="Tabelle1">
    <tabColor rgb="FFFFFF00"/>
  </sheetPr>
  <dimension ref="A1:J61"/>
  <sheetViews>
    <sheetView zoomScaleNormal="100" workbookViewId="0">
      <selection activeCell="O7" sqref="O7"/>
    </sheetView>
  </sheetViews>
  <sheetFormatPr baseColWidth="10" defaultRowHeight="14.5" x14ac:dyDescent="0.35"/>
  <sheetData>
    <row r="1" spans="1:10" x14ac:dyDescent="0.35">
      <c r="D1" s="15"/>
    </row>
    <row r="2" spans="1:10" s="2" customFormat="1" x14ac:dyDescent="0.35">
      <c r="A2" s="65" t="s">
        <v>29</v>
      </c>
      <c r="B2" s="66"/>
      <c r="C2" s="66"/>
      <c r="D2" s="66"/>
      <c r="E2" s="66"/>
      <c r="F2" s="66"/>
      <c r="G2" s="66"/>
      <c r="H2" s="66"/>
      <c r="I2" s="66"/>
      <c r="J2" s="66"/>
    </row>
    <row r="3" spans="1:10" x14ac:dyDescent="0.35">
      <c r="A3" s="66"/>
      <c r="B3" s="66"/>
      <c r="C3" s="66"/>
      <c r="D3" s="66"/>
      <c r="E3" s="66"/>
      <c r="F3" s="66"/>
      <c r="G3" s="66"/>
      <c r="H3" s="66"/>
      <c r="I3" s="66"/>
      <c r="J3" s="66"/>
    </row>
    <row r="4" spans="1:10" x14ac:dyDescent="0.35">
      <c r="A4" s="66"/>
      <c r="B4" s="66"/>
      <c r="C4" s="66"/>
      <c r="D4" s="66"/>
      <c r="E4" s="66"/>
      <c r="F4" s="66"/>
      <c r="G4" s="66"/>
      <c r="H4" s="66"/>
      <c r="I4" s="66"/>
      <c r="J4" s="66"/>
    </row>
    <row r="6" spans="1:10" ht="15" thickBot="1" x14ac:dyDescent="0.4">
      <c r="A6" s="28"/>
      <c r="B6" s="28"/>
      <c r="C6" s="28"/>
      <c r="D6" s="28"/>
      <c r="E6" s="28"/>
      <c r="F6" s="28"/>
      <c r="G6" s="28"/>
      <c r="H6" s="28"/>
      <c r="I6" s="28"/>
      <c r="J6" s="28"/>
    </row>
    <row r="7" spans="1:10" x14ac:dyDescent="0.35">
      <c r="A7" s="28"/>
      <c r="B7" s="62">
        <v>1</v>
      </c>
      <c r="C7" s="29"/>
      <c r="D7" s="29"/>
      <c r="E7" s="29"/>
      <c r="F7" s="30"/>
      <c r="G7" s="28"/>
      <c r="H7" s="28"/>
      <c r="I7" s="28"/>
      <c r="J7" s="28"/>
    </row>
    <row r="8" spans="1:10" x14ac:dyDescent="0.35">
      <c r="A8" s="28"/>
      <c r="B8" s="63"/>
      <c r="C8" s="31"/>
      <c r="D8" s="31"/>
      <c r="E8" s="31"/>
      <c r="F8" s="32"/>
      <c r="G8" s="28"/>
      <c r="H8" s="28"/>
      <c r="I8" s="28"/>
      <c r="J8" s="28"/>
    </row>
    <row r="9" spans="1:10" ht="15" thickBot="1" x14ac:dyDescent="0.4">
      <c r="A9" s="28"/>
      <c r="B9" s="64"/>
      <c r="C9" s="33"/>
      <c r="D9" s="33"/>
      <c r="E9" s="33"/>
      <c r="F9" s="34"/>
      <c r="G9" s="28"/>
      <c r="H9" s="28"/>
      <c r="I9" s="28"/>
      <c r="J9" s="28"/>
    </row>
    <row r="10" spans="1:10" x14ac:dyDescent="0.35">
      <c r="A10" s="28"/>
      <c r="B10" s="28"/>
      <c r="C10" s="28"/>
      <c r="D10" s="28"/>
      <c r="E10" s="28"/>
      <c r="F10" s="28"/>
      <c r="G10" s="28"/>
      <c r="H10" s="28"/>
      <c r="I10" s="28"/>
      <c r="J10" s="28"/>
    </row>
    <row r="42" spans="1:9" x14ac:dyDescent="0.35">
      <c r="A42" s="67" t="s">
        <v>30</v>
      </c>
      <c r="B42" s="67"/>
      <c r="C42" s="67"/>
      <c r="D42" s="67"/>
      <c r="E42" s="67"/>
      <c r="F42" s="67"/>
      <c r="G42" s="67"/>
    </row>
    <row r="43" spans="1:9" x14ac:dyDescent="0.35">
      <c r="A43" s="58" t="s">
        <v>31</v>
      </c>
      <c r="B43" s="68" t="s">
        <v>32</v>
      </c>
      <c r="C43" s="68"/>
      <c r="D43" s="68"/>
      <c r="E43" s="68"/>
      <c r="F43" s="68"/>
      <c r="G43" s="58"/>
    </row>
    <row r="44" spans="1:9" x14ac:dyDescent="0.35">
      <c r="A44" s="58" t="s">
        <v>33</v>
      </c>
      <c r="B44" s="68" t="s">
        <v>34</v>
      </c>
      <c r="C44" s="68"/>
      <c r="D44" s="68"/>
      <c r="E44" s="68"/>
      <c r="F44" s="68"/>
      <c r="G44" s="58"/>
    </row>
    <row r="45" spans="1:9" x14ac:dyDescent="0.35">
      <c r="A45" s="61"/>
      <c r="B45" s="61"/>
      <c r="C45" s="61"/>
      <c r="D45" s="61"/>
      <c r="E45" s="61"/>
      <c r="F45" s="61"/>
      <c r="G45" s="61"/>
    </row>
    <row r="46" spans="1:9" x14ac:dyDescent="0.35">
      <c r="A46" s="36" t="s">
        <v>35</v>
      </c>
      <c r="B46" s="35"/>
      <c r="C46" s="35"/>
      <c r="D46" s="35"/>
      <c r="E46" s="35"/>
      <c r="F46" s="35"/>
      <c r="G46" s="35"/>
      <c r="H46" s="35"/>
      <c r="I46" s="35"/>
    </row>
    <row r="47" spans="1:9" x14ac:dyDescent="0.35">
      <c r="A47" s="35" t="s">
        <v>36</v>
      </c>
      <c r="B47" s="35"/>
      <c r="C47" s="35"/>
      <c r="D47" s="35"/>
      <c r="E47" s="35"/>
      <c r="F47" s="35"/>
      <c r="G47" s="35"/>
      <c r="H47" s="35"/>
      <c r="I47" s="35"/>
    </row>
    <row r="48" spans="1:9" x14ac:dyDescent="0.35">
      <c r="A48" s="35" t="s">
        <v>37</v>
      </c>
      <c r="B48" s="35"/>
      <c r="C48" s="35"/>
      <c r="D48" s="35"/>
      <c r="E48" s="35"/>
      <c r="F48" s="35"/>
      <c r="G48" s="35"/>
      <c r="H48" s="35"/>
      <c r="I48" s="35"/>
    </row>
    <row r="49" spans="1:9" x14ac:dyDescent="0.35">
      <c r="A49" s="35" t="s">
        <v>38</v>
      </c>
      <c r="B49" s="35"/>
      <c r="C49" s="35"/>
      <c r="D49" s="35"/>
      <c r="E49" s="35"/>
      <c r="F49" s="35"/>
      <c r="G49" s="35"/>
      <c r="H49" s="35"/>
      <c r="I49" s="35"/>
    </row>
    <row r="50" spans="1:9" x14ac:dyDescent="0.35">
      <c r="A50" s="35"/>
      <c r="B50" s="35"/>
      <c r="C50" s="35"/>
      <c r="D50" s="35"/>
      <c r="E50" s="35"/>
      <c r="F50" s="35"/>
      <c r="G50" s="35"/>
      <c r="H50" s="35"/>
      <c r="I50" s="35"/>
    </row>
    <row r="51" spans="1:9" x14ac:dyDescent="0.35">
      <c r="A51" s="35" t="s">
        <v>39</v>
      </c>
      <c r="B51" s="35" t="s">
        <v>40</v>
      </c>
      <c r="C51" s="35"/>
      <c r="D51" s="35"/>
      <c r="E51" s="35"/>
      <c r="F51" s="35"/>
      <c r="G51" s="35"/>
      <c r="H51" s="35"/>
      <c r="I51" s="35"/>
    </row>
    <row r="52" spans="1:9" x14ac:dyDescent="0.35">
      <c r="A52" s="35" t="s">
        <v>41</v>
      </c>
      <c r="B52" s="35" t="s">
        <v>42</v>
      </c>
      <c r="C52" s="35"/>
      <c r="D52" s="35"/>
      <c r="E52" s="35"/>
      <c r="F52" s="35"/>
      <c r="G52" s="35"/>
      <c r="H52" s="35"/>
      <c r="I52" s="35"/>
    </row>
    <row r="53" spans="1:9" x14ac:dyDescent="0.35">
      <c r="A53" s="35" t="s">
        <v>43</v>
      </c>
      <c r="B53" s="35" t="s">
        <v>44</v>
      </c>
      <c r="C53" s="35"/>
      <c r="D53" s="35"/>
      <c r="E53" s="35"/>
      <c r="F53" s="35"/>
      <c r="G53" s="35"/>
      <c r="H53" s="35"/>
      <c r="I53" s="35"/>
    </row>
    <row r="54" spans="1:9" x14ac:dyDescent="0.35">
      <c r="A54" s="35"/>
      <c r="B54" s="35"/>
      <c r="C54" s="35"/>
      <c r="D54" s="35"/>
      <c r="E54" s="35"/>
      <c r="F54" s="35"/>
      <c r="G54" s="35"/>
      <c r="H54" s="35"/>
      <c r="I54" s="35"/>
    </row>
    <row r="55" spans="1:9" x14ac:dyDescent="0.35">
      <c r="A55" s="36" t="s">
        <v>45</v>
      </c>
      <c r="B55" s="35"/>
      <c r="C55" s="35"/>
      <c r="D55" s="35"/>
      <c r="E55" s="35"/>
      <c r="F55" s="35"/>
      <c r="G55" s="35"/>
      <c r="H55" s="35"/>
      <c r="I55" s="35"/>
    </row>
    <row r="56" spans="1:9" x14ac:dyDescent="0.35">
      <c r="A56" s="35" t="s">
        <v>46</v>
      </c>
      <c r="B56" s="35"/>
      <c r="C56" s="35"/>
      <c r="D56" s="35"/>
      <c r="E56" s="35"/>
      <c r="F56" s="35"/>
      <c r="G56" s="35"/>
      <c r="H56" s="35"/>
      <c r="I56" s="35"/>
    </row>
    <row r="57" spans="1:9" x14ac:dyDescent="0.35">
      <c r="A57" s="35" t="s">
        <v>47</v>
      </c>
      <c r="B57" s="35"/>
      <c r="C57" s="35"/>
      <c r="D57" s="35"/>
      <c r="E57" s="35"/>
      <c r="F57" s="35"/>
      <c r="G57" s="35"/>
      <c r="H57" s="35"/>
      <c r="I57" s="35"/>
    </row>
    <row r="58" spans="1:9" x14ac:dyDescent="0.35">
      <c r="A58" s="35" t="s">
        <v>49</v>
      </c>
      <c r="B58" s="35"/>
      <c r="C58" s="35"/>
      <c r="D58" s="35"/>
      <c r="E58" s="35"/>
      <c r="F58" s="35"/>
      <c r="G58" s="35"/>
      <c r="H58" s="35"/>
      <c r="I58" s="35"/>
    </row>
    <row r="59" spans="1:9" x14ac:dyDescent="0.35">
      <c r="A59" s="35" t="s">
        <v>48</v>
      </c>
      <c r="B59" s="35"/>
      <c r="C59" s="35"/>
      <c r="D59" s="35"/>
      <c r="E59" s="35"/>
      <c r="F59" s="35"/>
      <c r="G59" s="35"/>
      <c r="H59" s="35"/>
      <c r="I59" s="35"/>
    </row>
    <row r="60" spans="1:9" x14ac:dyDescent="0.35">
      <c r="A60" s="35"/>
      <c r="B60" s="35"/>
      <c r="C60" s="35"/>
      <c r="D60" s="35"/>
      <c r="E60" s="35"/>
      <c r="F60" s="35"/>
      <c r="G60" s="35"/>
      <c r="H60" s="35"/>
      <c r="I60" s="35"/>
    </row>
    <row r="61" spans="1:9" x14ac:dyDescent="0.35">
      <c r="A61" s="35"/>
      <c r="B61" s="35"/>
      <c r="C61" s="35"/>
      <c r="D61" s="35"/>
      <c r="E61" s="35"/>
      <c r="F61" s="35"/>
      <c r="G61" s="35"/>
      <c r="H61" s="35"/>
      <c r="I61" s="35"/>
    </row>
  </sheetData>
  <mergeCells count="6">
    <mergeCell ref="A45:G45"/>
    <mergeCell ref="B7:B9"/>
    <mergeCell ref="A2:J4"/>
    <mergeCell ref="A42:G42"/>
    <mergeCell ref="B43:F43"/>
    <mergeCell ref="B44:F44"/>
  </mergeCells>
  <hyperlinks>
    <hyperlink ref="B43" r:id="rId1" xr:uid="{3553F32A-D98F-4BA0-9065-48A5CA176CA7}"/>
    <hyperlink ref="B44" r:id="rId2" xr:uid="{0567E202-E897-499B-BB5C-6AFFEE5262B0}"/>
  </hyperlinks>
  <pageMargins left="0.7" right="0.7" top="0.78740157499999996" bottom="0.78740157499999996" header="0.3" footer="0.3"/>
  <pageSetup paperSize="9" orientation="portrait" horizontalDpi="90" verticalDpi="90"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Spinner 1">
              <controlPr defaultSize="0" autoPict="0">
                <anchor moveWithCells="1" sizeWithCells="1">
                  <from>
                    <xdr:col>2</xdr:col>
                    <xdr:colOff>0</xdr:colOff>
                    <xdr:row>6</xdr:row>
                    <xdr:rowOff>0</xdr:rowOff>
                  </from>
                  <to>
                    <xdr:col>2</xdr:col>
                    <xdr:colOff>355600</xdr:colOff>
                    <xdr:row>9</xdr:row>
                    <xdr:rowOff>0</xdr:rowOff>
                  </to>
                </anchor>
              </controlPr>
            </control>
          </mc:Choice>
        </mc:AlternateContent>
        <mc:AlternateContent xmlns:mc="http://schemas.openxmlformats.org/markup-compatibility/2006">
          <mc:Choice Requires="x14">
            <control shapeId="1026" r:id="rId7" name="Button 2">
              <controlPr defaultSize="0" print="0" autoFill="0" autoPict="0" macro="[0]!Arbeitsblaetter_erstellen" altText="Neue Geräte anlegen">
                <anchor moveWithCells="1" sizeWithCells="1">
                  <from>
                    <xdr:col>2</xdr:col>
                    <xdr:colOff>355600</xdr:colOff>
                    <xdr:row>6</xdr:row>
                    <xdr:rowOff>0</xdr:rowOff>
                  </from>
                  <to>
                    <xdr:col>6</xdr:col>
                    <xdr:colOff>0</xdr:colOff>
                    <xdr:row>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27CF5-E0D3-4F9E-9915-8C1E5D48342D}">
  <sheetPr codeName="Tabelle3">
    <tabColor theme="8" tint="-0.249977111117893"/>
  </sheetPr>
  <dimension ref="A3:D5"/>
  <sheetViews>
    <sheetView workbookViewId="0">
      <selection activeCell="B10" sqref="B10"/>
    </sheetView>
  </sheetViews>
  <sheetFormatPr baseColWidth="10" defaultRowHeight="14.5" x14ac:dyDescent="0.35"/>
  <sheetData>
    <row r="3" spans="1:4" x14ac:dyDescent="0.35">
      <c r="A3" s="28"/>
      <c r="B3" s="28"/>
      <c r="C3" s="28"/>
      <c r="D3" s="28"/>
    </row>
    <row r="4" spans="1:4" x14ac:dyDescent="0.35">
      <c r="A4" s="28"/>
      <c r="B4" s="28"/>
      <c r="C4" s="28"/>
      <c r="D4" s="28"/>
    </row>
    <row r="5" spans="1:4" x14ac:dyDescent="0.35">
      <c r="A5" s="28"/>
      <c r="B5" s="28"/>
      <c r="C5" s="28"/>
      <c r="D5" s="28"/>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ProcessingSketchErstellen">
                <anchor moveWithCells="1" sizeWithCells="1">
                  <from>
                    <xdr:col>0</xdr:col>
                    <xdr:colOff>336550</xdr:colOff>
                    <xdr:row>2</xdr:row>
                    <xdr:rowOff>88900</xdr:rowOff>
                  </from>
                  <to>
                    <xdr:col>3</xdr:col>
                    <xdr:colOff>304800</xdr:colOff>
                    <xdr:row>4</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C10C5-6729-4A09-80CD-8B81DC3DA470}">
  <sheetPr codeName="Tabelle21"/>
  <dimension ref="A1:U194"/>
  <sheetViews>
    <sheetView tabSelected="1" topLeftCell="A7" zoomScale="60" zoomScaleNormal="60" workbookViewId="0">
      <selection activeCell="B19" sqref="B19:E19"/>
    </sheetView>
  </sheetViews>
  <sheetFormatPr baseColWidth="10" defaultRowHeight="14.5" x14ac:dyDescent="0.35"/>
  <cols>
    <col min="1" max="1" width="28.26953125" customWidth="1"/>
    <col min="2" max="2" width="8.26953125" customWidth="1"/>
    <col min="3" max="3" width="12" customWidth="1"/>
    <col min="4" max="4" width="95.453125" customWidth="1"/>
    <col min="5" max="5" width="11" customWidth="1"/>
  </cols>
  <sheetData>
    <row r="1" spans="1:17" x14ac:dyDescent="0.35">
      <c r="C1" s="57" t="s">
        <v>27</v>
      </c>
      <c r="D1" s="57" t="s">
        <v>28</v>
      </c>
    </row>
    <row r="3" spans="1:17" ht="46.5" thickBot="1" x14ac:dyDescent="1.05">
      <c r="A3" s="3" t="s">
        <v>0</v>
      </c>
      <c r="B3" s="56" t="s">
        <v>1</v>
      </c>
      <c r="C3" s="2"/>
      <c r="D3" s="2"/>
      <c r="E3" s="2"/>
      <c r="G3" s="3" t="s">
        <v>18</v>
      </c>
    </row>
    <row r="4" spans="1:17" x14ac:dyDescent="0.35">
      <c r="A4" s="5" t="s">
        <v>2</v>
      </c>
      <c r="B4" s="84" t="s">
        <v>51</v>
      </c>
      <c r="C4" s="84"/>
      <c r="D4" s="84"/>
      <c r="E4" s="85"/>
      <c r="G4" s="6"/>
      <c r="H4" s="12"/>
      <c r="I4" s="12"/>
      <c r="J4" s="12"/>
      <c r="K4" s="12"/>
      <c r="L4" s="12"/>
      <c r="M4" s="12"/>
      <c r="N4" s="12"/>
      <c r="O4" s="12"/>
      <c r="P4" s="12"/>
      <c r="Q4" s="7"/>
    </row>
    <row r="5" spans="1:17" x14ac:dyDescent="0.35">
      <c r="A5" s="4" t="s">
        <v>3</v>
      </c>
      <c r="B5" s="69" t="s">
        <v>50</v>
      </c>
      <c r="C5" s="69"/>
      <c r="D5" s="69"/>
      <c r="E5" s="70"/>
      <c r="G5" s="8"/>
      <c r="H5" s="13"/>
      <c r="I5" s="13"/>
      <c r="J5" s="13"/>
      <c r="K5" s="13"/>
      <c r="L5" s="13"/>
      <c r="M5" s="13"/>
      <c r="N5" s="13"/>
      <c r="O5" s="13"/>
      <c r="P5" s="13"/>
      <c r="Q5" s="9"/>
    </row>
    <row r="6" spans="1:17" x14ac:dyDescent="0.35">
      <c r="A6" s="4" t="s">
        <v>4</v>
      </c>
      <c r="B6" s="86">
        <v>19200</v>
      </c>
      <c r="C6" s="87"/>
      <c r="D6" s="87"/>
      <c r="E6" s="88"/>
      <c r="G6" s="8"/>
      <c r="H6" s="13"/>
      <c r="I6" s="13"/>
      <c r="J6" s="13"/>
      <c r="K6" s="13"/>
      <c r="L6" s="13"/>
      <c r="M6" s="13"/>
      <c r="N6" s="13"/>
      <c r="O6" s="13"/>
      <c r="P6" s="13"/>
      <c r="Q6" s="9"/>
    </row>
    <row r="7" spans="1:17" x14ac:dyDescent="0.35">
      <c r="A7" s="4" t="s">
        <v>5</v>
      </c>
      <c r="B7" s="69" t="s">
        <v>80</v>
      </c>
      <c r="C7" s="69"/>
      <c r="D7" s="69"/>
      <c r="E7" s="70"/>
      <c r="G7" s="8"/>
      <c r="H7" s="13"/>
      <c r="I7" s="13"/>
      <c r="J7" s="13"/>
      <c r="K7" s="13"/>
      <c r="L7" s="13"/>
      <c r="M7" s="13"/>
      <c r="N7" s="13"/>
      <c r="O7" s="13"/>
      <c r="P7" s="13"/>
      <c r="Q7" s="9"/>
    </row>
    <row r="8" spans="1:17" x14ac:dyDescent="0.35">
      <c r="A8" s="4" t="s">
        <v>6</v>
      </c>
      <c r="B8" s="69" t="s">
        <v>52</v>
      </c>
      <c r="C8" s="69"/>
      <c r="D8" s="69"/>
      <c r="E8" s="70"/>
      <c r="G8" s="8"/>
      <c r="H8" s="13"/>
      <c r="I8" s="13"/>
      <c r="J8" s="13"/>
      <c r="K8" s="13"/>
      <c r="L8" s="13"/>
      <c r="M8" s="13"/>
      <c r="N8" s="13"/>
      <c r="O8" s="13"/>
      <c r="P8" s="13"/>
      <c r="Q8" s="9"/>
    </row>
    <row r="9" spans="1:17" x14ac:dyDescent="0.35">
      <c r="A9" s="71" t="s">
        <v>7</v>
      </c>
      <c r="B9" s="69" t="s">
        <v>79</v>
      </c>
      <c r="C9" s="69"/>
      <c r="D9" s="69"/>
      <c r="E9" s="70"/>
      <c r="G9" s="8"/>
      <c r="H9" s="13"/>
      <c r="I9" s="13"/>
      <c r="J9" s="13"/>
      <c r="K9" s="13"/>
      <c r="L9" s="13"/>
      <c r="M9" s="13"/>
      <c r="N9" s="13"/>
      <c r="O9" s="13"/>
      <c r="P9" s="13"/>
      <c r="Q9" s="9"/>
    </row>
    <row r="10" spans="1:17" x14ac:dyDescent="0.35">
      <c r="A10" s="72"/>
      <c r="B10" s="69" t="s">
        <v>53</v>
      </c>
      <c r="C10" s="69"/>
      <c r="D10" s="69"/>
      <c r="E10" s="70"/>
      <c r="G10" s="8"/>
      <c r="H10" s="13"/>
      <c r="I10" s="13"/>
      <c r="J10" s="13"/>
      <c r="K10" s="13"/>
      <c r="L10" s="13"/>
      <c r="M10" s="13"/>
      <c r="N10" s="13"/>
      <c r="O10" s="13"/>
      <c r="P10" s="13"/>
      <c r="Q10" s="9"/>
    </row>
    <row r="11" spans="1:17" x14ac:dyDescent="0.35">
      <c r="A11" s="72"/>
      <c r="B11" s="69" t="s">
        <v>54</v>
      </c>
      <c r="C11" s="69"/>
      <c r="D11" s="69"/>
      <c r="E11" s="70"/>
      <c r="G11" s="8"/>
      <c r="H11" s="13"/>
      <c r="I11" s="13"/>
      <c r="J11" s="13"/>
      <c r="K11" s="13"/>
      <c r="L11" s="13"/>
      <c r="M11" s="13"/>
      <c r="N11" s="13"/>
      <c r="O11" s="13"/>
      <c r="P11" s="13"/>
      <c r="Q11" s="9"/>
    </row>
    <row r="12" spans="1:17" x14ac:dyDescent="0.35">
      <c r="A12" s="72"/>
      <c r="B12" s="69" t="s">
        <v>78</v>
      </c>
      <c r="C12" s="69"/>
      <c r="D12" s="69"/>
      <c r="E12" s="70"/>
      <c r="G12" s="8"/>
      <c r="H12" s="13"/>
      <c r="I12" s="13"/>
      <c r="J12" s="13"/>
      <c r="K12" s="13"/>
      <c r="L12" s="13"/>
      <c r="M12" s="13"/>
      <c r="N12" s="13"/>
      <c r="O12" s="13"/>
      <c r="P12" s="13"/>
      <c r="Q12" s="9"/>
    </row>
    <row r="13" spans="1:17" x14ac:dyDescent="0.35">
      <c r="A13" s="72"/>
      <c r="B13" s="69"/>
      <c r="C13" s="69"/>
      <c r="D13" s="69"/>
      <c r="E13" s="70"/>
      <c r="G13" s="8"/>
      <c r="H13" s="13"/>
      <c r="I13" s="13"/>
      <c r="J13" s="13"/>
      <c r="K13" s="13"/>
      <c r="L13" s="13"/>
      <c r="M13" s="13"/>
      <c r="N13" s="13"/>
      <c r="O13" s="13"/>
      <c r="P13" s="13"/>
      <c r="Q13" s="9"/>
    </row>
    <row r="14" spans="1:17" x14ac:dyDescent="0.35">
      <c r="A14" s="72"/>
      <c r="B14" s="69"/>
      <c r="C14" s="69"/>
      <c r="D14" s="69"/>
      <c r="E14" s="70"/>
      <c r="G14" s="8"/>
      <c r="H14" s="13"/>
      <c r="I14" s="13"/>
      <c r="J14" s="13"/>
      <c r="K14" s="13"/>
      <c r="L14" s="13"/>
      <c r="M14" s="13"/>
      <c r="N14" s="13"/>
      <c r="O14" s="13"/>
      <c r="P14" s="13"/>
      <c r="Q14" s="9"/>
    </row>
    <row r="15" spans="1:17" x14ac:dyDescent="0.35">
      <c r="A15" s="72"/>
      <c r="B15" s="69"/>
      <c r="C15" s="69"/>
      <c r="D15" s="69"/>
      <c r="E15" s="70"/>
      <c r="G15" s="8"/>
      <c r="H15" s="13"/>
      <c r="I15" s="13"/>
      <c r="J15" s="13"/>
      <c r="K15" s="13"/>
      <c r="L15" s="13"/>
      <c r="M15" s="13"/>
      <c r="N15" s="13"/>
      <c r="O15" s="13"/>
      <c r="P15" s="13"/>
      <c r="Q15" s="9"/>
    </row>
    <row r="16" spans="1:17" x14ac:dyDescent="0.35">
      <c r="A16" s="72"/>
      <c r="B16" s="69"/>
      <c r="C16" s="69"/>
      <c r="D16" s="69"/>
      <c r="E16" s="70"/>
      <c r="G16" s="8"/>
      <c r="H16" s="13"/>
      <c r="I16" s="13"/>
      <c r="J16" s="13"/>
      <c r="K16" s="13"/>
      <c r="L16" s="13"/>
      <c r="M16" s="13"/>
      <c r="N16" s="13"/>
      <c r="O16" s="13"/>
      <c r="P16" s="13"/>
      <c r="Q16" s="9"/>
    </row>
    <row r="17" spans="1:17" x14ac:dyDescent="0.35">
      <c r="A17" s="74"/>
      <c r="B17" s="69"/>
      <c r="C17" s="69"/>
      <c r="D17" s="69"/>
      <c r="E17" s="70"/>
      <c r="G17" s="8"/>
      <c r="H17" s="13"/>
      <c r="I17" s="13"/>
      <c r="J17" s="13"/>
      <c r="K17" s="13"/>
      <c r="L17" s="13"/>
      <c r="M17" s="13"/>
      <c r="N17" s="13"/>
      <c r="O17" s="13"/>
      <c r="P17" s="13"/>
      <c r="Q17" s="9"/>
    </row>
    <row r="18" spans="1:17" x14ac:dyDescent="0.35">
      <c r="A18" s="71" t="s">
        <v>8</v>
      </c>
      <c r="B18" s="69" t="s">
        <v>90</v>
      </c>
      <c r="C18" s="69"/>
      <c r="D18" s="69"/>
      <c r="E18" s="70"/>
      <c r="G18" s="8"/>
      <c r="H18" s="13"/>
      <c r="I18" s="13"/>
      <c r="J18" s="13"/>
      <c r="K18" s="13"/>
      <c r="L18" s="13"/>
      <c r="M18" s="13"/>
      <c r="N18" s="13"/>
      <c r="O18" s="13"/>
      <c r="P18" s="13"/>
      <c r="Q18" s="9"/>
    </row>
    <row r="19" spans="1:17" x14ac:dyDescent="0.35">
      <c r="A19" s="72"/>
      <c r="B19" s="69" t="s">
        <v>93</v>
      </c>
      <c r="C19" s="69"/>
      <c r="D19" s="69"/>
      <c r="E19" s="70"/>
      <c r="G19" s="8"/>
      <c r="H19" s="13"/>
      <c r="I19" s="13"/>
      <c r="J19" s="13"/>
      <c r="K19" s="13"/>
      <c r="L19" s="13"/>
      <c r="M19" s="13"/>
      <c r="N19" s="13"/>
      <c r="O19" s="13"/>
      <c r="P19" s="13"/>
      <c r="Q19" s="9"/>
    </row>
    <row r="20" spans="1:17" x14ac:dyDescent="0.35">
      <c r="A20" s="72"/>
      <c r="B20" s="69" t="s">
        <v>91</v>
      </c>
      <c r="C20" s="69"/>
      <c r="D20" s="69"/>
      <c r="E20" s="70"/>
      <c r="G20" s="8"/>
      <c r="H20" s="13"/>
      <c r="I20" s="13"/>
      <c r="J20" s="13"/>
      <c r="K20" s="13"/>
      <c r="L20" s="13"/>
      <c r="M20" s="13"/>
      <c r="N20" s="13"/>
      <c r="O20" s="13"/>
      <c r="P20" s="13"/>
      <c r="Q20" s="9"/>
    </row>
    <row r="21" spans="1:17" x14ac:dyDescent="0.35">
      <c r="A21" s="72"/>
      <c r="B21" s="69" t="s">
        <v>92</v>
      </c>
      <c r="C21" s="69"/>
      <c r="D21" s="69"/>
      <c r="E21" s="70"/>
      <c r="G21" s="8"/>
      <c r="H21" s="13"/>
      <c r="I21" s="13"/>
      <c r="J21" s="13"/>
      <c r="K21" s="13"/>
      <c r="L21" s="13"/>
      <c r="M21" s="13"/>
      <c r="N21" s="13"/>
      <c r="O21" s="13"/>
      <c r="P21" s="13"/>
      <c r="Q21" s="9"/>
    </row>
    <row r="22" spans="1:17" x14ac:dyDescent="0.35">
      <c r="A22" s="72"/>
      <c r="B22" s="69"/>
      <c r="C22" s="69"/>
      <c r="D22" s="69"/>
      <c r="E22" s="70"/>
      <c r="G22" s="8"/>
      <c r="H22" s="13"/>
      <c r="I22" s="13"/>
      <c r="J22" s="13"/>
      <c r="K22" s="13"/>
      <c r="L22" s="13"/>
      <c r="M22" s="13"/>
      <c r="N22" s="13"/>
      <c r="O22" s="13"/>
      <c r="P22" s="13"/>
      <c r="Q22" s="9"/>
    </row>
    <row r="23" spans="1:17" x14ac:dyDescent="0.35">
      <c r="A23" s="72"/>
      <c r="B23" s="69"/>
      <c r="C23" s="69"/>
      <c r="D23" s="69"/>
      <c r="E23" s="70"/>
      <c r="G23" s="8"/>
      <c r="H23" s="13"/>
      <c r="I23" s="13"/>
      <c r="J23" s="13"/>
      <c r="K23" s="13"/>
      <c r="L23" s="13"/>
      <c r="M23" s="13"/>
      <c r="N23" s="13"/>
      <c r="O23" s="13"/>
      <c r="P23" s="13"/>
      <c r="Q23" s="9"/>
    </row>
    <row r="24" spans="1:17" x14ac:dyDescent="0.35">
      <c r="A24" s="72"/>
      <c r="B24" s="69"/>
      <c r="C24" s="69"/>
      <c r="D24" s="69"/>
      <c r="E24" s="70"/>
      <c r="G24" s="8"/>
      <c r="H24" s="13"/>
      <c r="I24" s="13"/>
      <c r="J24" s="13"/>
      <c r="K24" s="13"/>
      <c r="L24" s="13"/>
      <c r="M24" s="13"/>
      <c r="N24" s="13"/>
      <c r="O24" s="13"/>
      <c r="P24" s="13"/>
      <c r="Q24" s="9"/>
    </row>
    <row r="25" spans="1:17" x14ac:dyDescent="0.35">
      <c r="A25" s="72"/>
      <c r="B25" s="69"/>
      <c r="C25" s="69"/>
      <c r="D25" s="69"/>
      <c r="E25" s="70"/>
      <c r="G25" s="8"/>
      <c r="H25" s="13"/>
      <c r="I25" s="13"/>
      <c r="J25" s="13"/>
      <c r="K25" s="13"/>
      <c r="L25" s="13"/>
      <c r="M25" s="13"/>
      <c r="N25" s="13"/>
      <c r="O25" s="13"/>
      <c r="P25" s="13"/>
      <c r="Q25" s="9"/>
    </row>
    <row r="26" spans="1:17" x14ac:dyDescent="0.35">
      <c r="A26" s="72"/>
      <c r="B26" s="69"/>
      <c r="C26" s="69"/>
      <c r="D26" s="69"/>
      <c r="E26" s="70"/>
      <c r="G26" s="8"/>
      <c r="H26" s="13"/>
      <c r="I26" s="13"/>
      <c r="J26" s="13"/>
      <c r="K26" s="13"/>
      <c r="L26" s="13"/>
      <c r="M26" s="13"/>
      <c r="N26" s="13"/>
      <c r="O26" s="13"/>
      <c r="P26" s="13"/>
      <c r="Q26" s="9"/>
    </row>
    <row r="27" spans="1:17" x14ac:dyDescent="0.35">
      <c r="A27" s="74"/>
      <c r="B27" s="69"/>
      <c r="C27" s="69"/>
      <c r="D27" s="69"/>
      <c r="E27" s="70"/>
      <c r="G27" s="8"/>
      <c r="H27" s="13"/>
      <c r="I27" s="13"/>
      <c r="J27" s="13"/>
      <c r="K27" s="13"/>
      <c r="L27" s="13"/>
      <c r="M27" s="13"/>
      <c r="N27" s="13"/>
      <c r="O27" s="13"/>
      <c r="P27" s="13"/>
      <c r="Q27" s="9"/>
    </row>
    <row r="28" spans="1:17" x14ac:dyDescent="0.35">
      <c r="A28" s="71" t="s">
        <v>9</v>
      </c>
      <c r="B28" s="75" t="s">
        <v>55</v>
      </c>
      <c r="C28" s="76"/>
      <c r="D28" s="76"/>
      <c r="E28" s="77"/>
      <c r="G28" s="8"/>
      <c r="H28" s="13"/>
      <c r="I28" s="13"/>
      <c r="J28" s="13"/>
      <c r="K28" s="13"/>
      <c r="L28" s="13"/>
      <c r="M28" s="13"/>
      <c r="N28" s="13"/>
      <c r="O28" s="13"/>
      <c r="P28" s="13"/>
      <c r="Q28" s="9"/>
    </row>
    <row r="29" spans="1:17" x14ac:dyDescent="0.35">
      <c r="A29" s="72"/>
      <c r="B29" s="78"/>
      <c r="C29" s="79"/>
      <c r="D29" s="79"/>
      <c r="E29" s="80"/>
      <c r="G29" s="8"/>
      <c r="H29" s="13"/>
      <c r="I29" s="13"/>
      <c r="J29" s="13"/>
      <c r="K29" s="13"/>
      <c r="L29" s="13"/>
      <c r="M29" s="13"/>
      <c r="N29" s="13"/>
      <c r="O29" s="13"/>
      <c r="P29" s="13"/>
      <c r="Q29" s="9"/>
    </row>
    <row r="30" spans="1:17" x14ac:dyDescent="0.35">
      <c r="A30" s="72"/>
      <c r="B30" s="78"/>
      <c r="C30" s="79"/>
      <c r="D30" s="79"/>
      <c r="E30" s="80"/>
      <c r="G30" s="8"/>
      <c r="H30" s="13"/>
      <c r="I30" s="13"/>
      <c r="J30" s="13"/>
      <c r="K30" s="13"/>
      <c r="L30" s="13"/>
      <c r="M30" s="13"/>
      <c r="N30" s="13"/>
      <c r="O30" s="13"/>
      <c r="P30" s="13"/>
      <c r="Q30" s="9"/>
    </row>
    <row r="31" spans="1:17" x14ac:dyDescent="0.35">
      <c r="A31" s="72"/>
      <c r="B31" s="78"/>
      <c r="C31" s="79"/>
      <c r="D31" s="79"/>
      <c r="E31" s="80"/>
      <c r="G31" s="8"/>
      <c r="H31" s="13"/>
      <c r="I31" s="13"/>
      <c r="J31" s="13"/>
      <c r="K31" s="13"/>
      <c r="L31" s="13"/>
      <c r="M31" s="13"/>
      <c r="N31" s="13"/>
      <c r="O31" s="13"/>
      <c r="P31" s="13"/>
      <c r="Q31" s="9"/>
    </row>
    <row r="32" spans="1:17" x14ac:dyDescent="0.35">
      <c r="A32" s="72"/>
      <c r="B32" s="78"/>
      <c r="C32" s="79"/>
      <c r="D32" s="79"/>
      <c r="E32" s="80"/>
      <c r="G32" s="8"/>
      <c r="H32" s="13"/>
      <c r="I32" s="13"/>
      <c r="J32" s="13"/>
      <c r="K32" s="13"/>
      <c r="L32" s="13"/>
      <c r="M32" s="13"/>
      <c r="N32" s="13"/>
      <c r="O32" s="13"/>
      <c r="P32" s="13"/>
      <c r="Q32" s="9"/>
    </row>
    <row r="33" spans="1:21" x14ac:dyDescent="0.35">
      <c r="A33" s="72"/>
      <c r="B33" s="78"/>
      <c r="C33" s="79"/>
      <c r="D33" s="79"/>
      <c r="E33" s="80"/>
      <c r="G33" s="8"/>
      <c r="H33" s="13"/>
      <c r="I33" s="13"/>
      <c r="J33" s="13"/>
      <c r="K33" s="13"/>
      <c r="L33" s="13"/>
      <c r="M33" s="13"/>
      <c r="N33" s="13"/>
      <c r="O33" s="13"/>
      <c r="P33" s="13"/>
      <c r="Q33" s="9"/>
    </row>
    <row r="34" spans="1:21" x14ac:dyDescent="0.35">
      <c r="A34" s="72"/>
      <c r="B34" s="78"/>
      <c r="C34" s="79"/>
      <c r="D34" s="79"/>
      <c r="E34" s="80"/>
      <c r="G34" s="8"/>
      <c r="H34" s="13"/>
      <c r="I34" s="13"/>
      <c r="J34" s="13"/>
      <c r="K34" s="13"/>
      <c r="L34" s="13"/>
      <c r="M34" s="13"/>
      <c r="N34" s="13"/>
      <c r="O34" s="13"/>
      <c r="P34" s="13"/>
      <c r="Q34" s="9"/>
    </row>
    <row r="35" spans="1:21" x14ac:dyDescent="0.35">
      <c r="A35" s="72"/>
      <c r="B35" s="78"/>
      <c r="C35" s="79"/>
      <c r="D35" s="79"/>
      <c r="E35" s="80"/>
      <c r="G35" s="8"/>
      <c r="H35" s="13"/>
      <c r="I35" s="13"/>
      <c r="J35" s="13"/>
      <c r="K35" s="13"/>
      <c r="L35" s="13"/>
      <c r="M35" s="13"/>
      <c r="N35" s="13"/>
      <c r="O35" s="13"/>
      <c r="P35" s="13"/>
      <c r="Q35" s="9"/>
    </row>
    <row r="36" spans="1:21" x14ac:dyDescent="0.35">
      <c r="A36" s="72"/>
      <c r="B36" s="78"/>
      <c r="C36" s="79"/>
      <c r="D36" s="79"/>
      <c r="E36" s="80"/>
      <c r="G36" s="8"/>
      <c r="H36" s="13"/>
      <c r="I36" s="13"/>
      <c r="J36" s="13"/>
      <c r="K36" s="13"/>
      <c r="L36" s="13"/>
      <c r="M36" s="13"/>
      <c r="N36" s="13"/>
      <c r="O36" s="13"/>
      <c r="P36" s="13"/>
      <c r="Q36" s="9"/>
    </row>
    <row r="37" spans="1:21" x14ac:dyDescent="0.35">
      <c r="A37" s="72"/>
      <c r="B37" s="78"/>
      <c r="C37" s="79"/>
      <c r="D37" s="79"/>
      <c r="E37" s="80"/>
      <c r="G37" s="8"/>
      <c r="H37" s="13"/>
      <c r="I37" s="13"/>
      <c r="J37" s="13"/>
      <c r="K37" s="13"/>
      <c r="L37" s="13"/>
      <c r="M37" s="13"/>
      <c r="N37" s="13"/>
      <c r="O37" s="13"/>
      <c r="P37" s="13"/>
      <c r="Q37" s="9"/>
    </row>
    <row r="38" spans="1:21" ht="15" thickBot="1" x14ac:dyDescent="0.4">
      <c r="A38" s="73"/>
      <c r="B38" s="81"/>
      <c r="C38" s="82"/>
      <c r="D38" s="82"/>
      <c r="E38" s="83"/>
      <c r="G38" s="10"/>
      <c r="H38" s="14"/>
      <c r="I38" s="14"/>
      <c r="J38" s="14"/>
      <c r="K38" s="14"/>
      <c r="L38" s="14"/>
      <c r="M38" s="14"/>
      <c r="N38" s="14"/>
      <c r="O38" s="14"/>
      <c r="P38" s="14"/>
      <c r="Q38" s="11"/>
    </row>
    <row r="40" spans="1:21" x14ac:dyDescent="0.35">
      <c r="B40" s="15"/>
      <c r="C40" s="15" t="s">
        <v>16</v>
      </c>
    </row>
    <row r="41" spans="1:21" x14ac:dyDescent="0.35">
      <c r="B41" s="15" t="s">
        <v>15</v>
      </c>
      <c r="C41" s="15" t="s">
        <v>17</v>
      </c>
    </row>
    <row r="42" spans="1:21" ht="15" thickBot="1" x14ac:dyDescent="0.4">
      <c r="A42" s="3" t="s">
        <v>10</v>
      </c>
      <c r="B42" s="3" t="s">
        <v>11</v>
      </c>
      <c r="C42" s="3" t="s">
        <v>12</v>
      </c>
      <c r="D42" s="3" t="s">
        <v>13</v>
      </c>
      <c r="E42" s="3" t="s">
        <v>14</v>
      </c>
      <c r="G42" s="3" t="s">
        <v>19</v>
      </c>
    </row>
    <row r="43" spans="1:21" ht="15" thickBot="1" x14ac:dyDescent="0.4">
      <c r="A43" s="45" t="s">
        <v>84</v>
      </c>
      <c r="B43" s="46" t="s">
        <v>15</v>
      </c>
      <c r="C43" s="46" t="s">
        <v>16</v>
      </c>
      <c r="D43" s="47" t="s">
        <v>57</v>
      </c>
      <c r="E43" s="48">
        <v>0</v>
      </c>
      <c r="G43" s="19"/>
      <c r="H43" s="20"/>
      <c r="I43" s="20"/>
      <c r="J43" s="20"/>
      <c r="K43" s="20"/>
      <c r="L43" s="20"/>
      <c r="M43" s="20"/>
      <c r="N43" s="20"/>
      <c r="O43" s="20"/>
      <c r="P43" s="20"/>
      <c r="Q43" s="21"/>
      <c r="U43" s="44"/>
    </row>
    <row r="44" spans="1:21" x14ac:dyDescent="0.35">
      <c r="A44" s="51" t="s">
        <v>75</v>
      </c>
      <c r="B44" s="16" t="s">
        <v>15</v>
      </c>
      <c r="C44" s="18" t="s">
        <v>16</v>
      </c>
      <c r="D44" s="17" t="s">
        <v>57</v>
      </c>
      <c r="E44" s="50">
        <v>0</v>
      </c>
      <c r="G44" s="22"/>
      <c r="H44" s="1"/>
      <c r="I44" s="1"/>
      <c r="J44" s="1"/>
      <c r="K44" s="1"/>
      <c r="L44" s="1"/>
      <c r="M44" s="1"/>
      <c r="N44" s="1"/>
      <c r="O44" s="1"/>
      <c r="P44" s="1"/>
      <c r="Q44" s="23"/>
    </row>
    <row r="45" spans="1:21" x14ac:dyDescent="0.35">
      <c r="A45" s="51" t="s">
        <v>76</v>
      </c>
      <c r="B45" s="16" t="s">
        <v>15</v>
      </c>
      <c r="C45" s="18" t="s">
        <v>16</v>
      </c>
      <c r="D45" s="17" t="s">
        <v>57</v>
      </c>
      <c r="E45" s="50">
        <v>0</v>
      </c>
      <c r="G45" s="22"/>
      <c r="H45" s="1"/>
      <c r="I45" s="1"/>
      <c r="J45" s="1"/>
      <c r="K45" s="1"/>
      <c r="L45" s="1"/>
      <c r="M45" s="1"/>
      <c r="N45" s="1"/>
      <c r="O45" s="1"/>
      <c r="P45" s="1"/>
      <c r="Q45" s="23"/>
    </row>
    <row r="46" spans="1:21" x14ac:dyDescent="0.35">
      <c r="A46" s="51" t="s">
        <v>77</v>
      </c>
      <c r="B46" s="16" t="s">
        <v>15</v>
      </c>
      <c r="C46" s="18" t="s">
        <v>16</v>
      </c>
      <c r="D46" s="18" t="s">
        <v>89</v>
      </c>
      <c r="E46" s="50">
        <v>0</v>
      </c>
      <c r="G46" s="22"/>
      <c r="H46" s="1"/>
      <c r="I46" s="1"/>
      <c r="J46" s="1"/>
      <c r="K46" s="1"/>
      <c r="L46" s="1"/>
      <c r="M46" s="1"/>
      <c r="N46" s="1"/>
      <c r="O46" s="1"/>
      <c r="P46" s="1"/>
      <c r="Q46" s="23"/>
    </row>
    <row r="47" spans="1:21" x14ac:dyDescent="0.35">
      <c r="A47" s="49" t="s">
        <v>82</v>
      </c>
      <c r="B47" s="16" t="s">
        <v>15</v>
      </c>
      <c r="C47" s="16" t="s">
        <v>16</v>
      </c>
      <c r="D47" s="90" t="s">
        <v>58</v>
      </c>
      <c r="E47" s="50">
        <v>1</v>
      </c>
      <c r="G47" s="22"/>
      <c r="H47" s="1"/>
      <c r="I47" s="1"/>
      <c r="J47" s="1"/>
      <c r="K47" s="1"/>
      <c r="L47" s="1"/>
      <c r="M47" s="1"/>
      <c r="N47" s="1"/>
      <c r="O47" s="1"/>
      <c r="P47" s="1"/>
      <c r="Q47" s="23"/>
    </row>
    <row r="48" spans="1:21" x14ac:dyDescent="0.35">
      <c r="A48" s="49" t="s">
        <v>81</v>
      </c>
      <c r="B48" s="16" t="s">
        <v>15</v>
      </c>
      <c r="C48" s="16" t="s">
        <v>16</v>
      </c>
      <c r="D48" s="16" t="s">
        <v>58</v>
      </c>
      <c r="E48" s="50">
        <v>1</v>
      </c>
      <c r="G48" s="22"/>
      <c r="H48" s="1"/>
      <c r="I48" s="1"/>
      <c r="J48" s="1"/>
      <c r="K48" s="1"/>
      <c r="L48" s="1"/>
      <c r="M48" s="1"/>
      <c r="N48" s="1"/>
      <c r="O48" s="1"/>
      <c r="P48" s="1"/>
      <c r="Q48" s="23"/>
    </row>
    <row r="49" spans="1:17" x14ac:dyDescent="0.35">
      <c r="A49" s="49" t="s">
        <v>59</v>
      </c>
      <c r="B49" s="16" t="s">
        <v>15</v>
      </c>
      <c r="C49" s="16" t="s">
        <v>16</v>
      </c>
      <c r="D49" s="17" t="s">
        <v>60</v>
      </c>
      <c r="E49" s="50">
        <v>100</v>
      </c>
      <c r="G49" s="22"/>
      <c r="H49" s="1"/>
      <c r="I49" s="1"/>
      <c r="J49" s="1"/>
      <c r="K49" s="1"/>
      <c r="L49" s="1"/>
      <c r="M49" s="1"/>
      <c r="N49" s="1"/>
      <c r="O49" s="1"/>
      <c r="P49" s="1"/>
      <c r="Q49" s="23"/>
    </row>
    <row r="50" spans="1:17" x14ac:dyDescent="0.35">
      <c r="A50" s="49" t="s">
        <v>61</v>
      </c>
      <c r="B50" s="16" t="s">
        <v>15</v>
      </c>
      <c r="C50" s="16" t="s">
        <v>16</v>
      </c>
      <c r="D50" s="17" t="s">
        <v>63</v>
      </c>
      <c r="E50" s="50">
        <v>100</v>
      </c>
      <c r="G50" s="22"/>
      <c r="H50" s="1"/>
      <c r="I50" s="1"/>
      <c r="J50" s="1"/>
      <c r="K50" s="1"/>
      <c r="L50" s="1"/>
      <c r="M50" s="1"/>
      <c r="N50" s="1"/>
      <c r="O50" s="1"/>
      <c r="P50" s="1"/>
      <c r="Q50" s="23"/>
    </row>
    <row r="51" spans="1:17" x14ac:dyDescent="0.35">
      <c r="A51" s="49" t="s">
        <v>62</v>
      </c>
      <c r="B51" s="16" t="s">
        <v>15</v>
      </c>
      <c r="C51" s="16" t="s">
        <v>16</v>
      </c>
      <c r="D51" s="17" t="s">
        <v>64</v>
      </c>
      <c r="E51" s="50">
        <v>100</v>
      </c>
      <c r="G51" s="22"/>
      <c r="H51" s="1"/>
      <c r="I51" s="1"/>
      <c r="J51" s="1"/>
      <c r="K51" s="1"/>
      <c r="L51" s="1"/>
      <c r="M51" s="1"/>
      <c r="N51" s="1"/>
      <c r="O51" s="1"/>
      <c r="P51" s="1"/>
      <c r="Q51" s="23"/>
    </row>
    <row r="52" spans="1:17" x14ac:dyDescent="0.35">
      <c r="A52" s="49" t="s">
        <v>65</v>
      </c>
      <c r="B52" s="16" t="s">
        <v>15</v>
      </c>
      <c r="C52" s="16" t="s">
        <v>16</v>
      </c>
      <c r="D52" s="16" t="s">
        <v>69</v>
      </c>
      <c r="E52" s="50">
        <v>0</v>
      </c>
      <c r="G52" s="22"/>
      <c r="H52" s="1"/>
      <c r="I52" s="1"/>
      <c r="J52" s="1"/>
      <c r="K52" s="1"/>
      <c r="L52" s="1"/>
      <c r="M52" s="1"/>
      <c r="N52" s="1"/>
      <c r="O52" s="1"/>
      <c r="P52" s="1"/>
      <c r="Q52" s="23"/>
    </row>
    <row r="53" spans="1:17" x14ac:dyDescent="0.35">
      <c r="A53" s="51" t="s">
        <v>66</v>
      </c>
      <c r="B53" s="16" t="s">
        <v>15</v>
      </c>
      <c r="C53" s="18" t="s">
        <v>16</v>
      </c>
      <c r="D53" s="18" t="s">
        <v>69</v>
      </c>
      <c r="E53" s="50">
        <v>0</v>
      </c>
      <c r="G53" s="22"/>
      <c r="H53" s="1"/>
      <c r="I53" s="1"/>
      <c r="J53" s="1"/>
      <c r="K53" s="1"/>
      <c r="L53" s="1"/>
      <c r="M53" s="1"/>
      <c r="N53" s="1"/>
      <c r="O53" s="1"/>
      <c r="P53" s="1"/>
      <c r="Q53" s="23"/>
    </row>
    <row r="54" spans="1:17" x14ac:dyDescent="0.35">
      <c r="A54" s="51" t="s">
        <v>67</v>
      </c>
      <c r="B54" s="16" t="s">
        <v>15</v>
      </c>
      <c r="C54" s="18" t="s">
        <v>16</v>
      </c>
      <c r="D54" s="18" t="s">
        <v>69</v>
      </c>
      <c r="E54" s="50">
        <v>0</v>
      </c>
      <c r="G54" s="22"/>
      <c r="H54" s="1"/>
      <c r="I54" s="1"/>
      <c r="J54" s="1"/>
      <c r="K54" s="1"/>
      <c r="L54" s="1"/>
      <c r="M54" s="1"/>
      <c r="N54" s="1"/>
      <c r="O54" s="1"/>
      <c r="P54" s="1"/>
      <c r="Q54" s="23"/>
    </row>
    <row r="55" spans="1:17" x14ac:dyDescent="0.35">
      <c r="A55" s="51" t="s">
        <v>68</v>
      </c>
      <c r="B55" s="16" t="s">
        <v>15</v>
      </c>
      <c r="C55" s="18" t="s">
        <v>16</v>
      </c>
      <c r="D55" s="60" t="s">
        <v>69</v>
      </c>
      <c r="E55" s="50">
        <v>0</v>
      </c>
      <c r="G55" s="22"/>
      <c r="H55" s="1"/>
      <c r="I55" s="1"/>
      <c r="J55" s="1"/>
      <c r="K55" s="1"/>
      <c r="L55" s="1"/>
      <c r="M55" s="1"/>
      <c r="N55" s="1"/>
      <c r="O55" s="1"/>
      <c r="P55" s="1"/>
      <c r="Q55" s="23"/>
    </row>
    <row r="56" spans="1:17" x14ac:dyDescent="0.35">
      <c r="A56" s="49" t="s">
        <v>83</v>
      </c>
      <c r="B56" s="16" t="s">
        <v>15</v>
      </c>
      <c r="C56" s="16" t="s">
        <v>17</v>
      </c>
      <c r="D56" s="17" t="s">
        <v>56</v>
      </c>
      <c r="E56" s="50">
        <v>1</v>
      </c>
      <c r="G56" s="22"/>
      <c r="H56" s="1"/>
      <c r="I56" s="1"/>
      <c r="J56" s="1"/>
      <c r="K56" s="1"/>
      <c r="L56" s="1"/>
      <c r="M56" s="1"/>
      <c r="N56" s="1"/>
      <c r="O56" s="1"/>
      <c r="P56" s="1"/>
      <c r="Q56" s="23"/>
    </row>
    <row r="57" spans="1:17" x14ac:dyDescent="0.35">
      <c r="A57" s="51" t="s">
        <v>73</v>
      </c>
      <c r="B57" s="16" t="s">
        <v>15</v>
      </c>
      <c r="C57" s="18" t="s">
        <v>17</v>
      </c>
      <c r="D57" s="89" t="s">
        <v>56</v>
      </c>
      <c r="E57" s="50">
        <v>1</v>
      </c>
      <c r="G57" s="22"/>
      <c r="H57" s="1"/>
      <c r="I57" s="1"/>
      <c r="J57" s="1"/>
      <c r="K57" s="1"/>
      <c r="L57" s="1"/>
      <c r="M57" s="1"/>
      <c r="N57" s="1"/>
      <c r="O57" s="1"/>
      <c r="P57" s="1"/>
      <c r="Q57" s="23"/>
    </row>
    <row r="58" spans="1:17" x14ac:dyDescent="0.35">
      <c r="A58" s="51" t="s">
        <v>74</v>
      </c>
      <c r="B58" s="16" t="s">
        <v>15</v>
      </c>
      <c r="C58" s="18" t="s">
        <v>17</v>
      </c>
      <c r="D58" s="89" t="s">
        <v>56</v>
      </c>
      <c r="E58" s="50">
        <v>1</v>
      </c>
      <c r="G58" s="22"/>
      <c r="H58" s="1"/>
      <c r="I58" s="1"/>
      <c r="J58" s="1"/>
      <c r="K58" s="1"/>
      <c r="L58" s="1"/>
      <c r="M58" s="1"/>
      <c r="N58" s="1"/>
      <c r="O58" s="1"/>
      <c r="P58" s="1"/>
      <c r="Q58" s="23"/>
    </row>
    <row r="59" spans="1:17" x14ac:dyDescent="0.35">
      <c r="A59" s="51" t="s">
        <v>71</v>
      </c>
      <c r="B59" s="16" t="s">
        <v>15</v>
      </c>
      <c r="C59" s="18" t="s">
        <v>17</v>
      </c>
      <c r="D59" s="18" t="s">
        <v>72</v>
      </c>
      <c r="E59" s="50">
        <v>1</v>
      </c>
      <c r="G59" s="22"/>
      <c r="H59" s="1"/>
      <c r="I59" s="1"/>
      <c r="J59" s="1"/>
      <c r="K59" s="1"/>
      <c r="L59" s="1"/>
      <c r="M59" s="1"/>
      <c r="N59" s="1"/>
      <c r="O59" s="1"/>
      <c r="P59" s="1"/>
      <c r="Q59" s="23"/>
    </row>
    <row r="60" spans="1:17" x14ac:dyDescent="0.35">
      <c r="A60" s="51" t="s">
        <v>85</v>
      </c>
      <c r="B60" s="16" t="s">
        <v>15</v>
      </c>
      <c r="C60" s="18" t="s">
        <v>17</v>
      </c>
      <c r="D60" s="18" t="s">
        <v>69</v>
      </c>
      <c r="E60" s="50">
        <v>0</v>
      </c>
      <c r="G60" s="22"/>
      <c r="H60" s="1"/>
      <c r="I60" s="1"/>
      <c r="J60" s="1"/>
      <c r="K60" s="1"/>
      <c r="L60" s="1"/>
      <c r="M60" s="1"/>
      <c r="N60" s="1"/>
      <c r="O60" s="1"/>
      <c r="P60" s="1"/>
      <c r="Q60" s="23"/>
    </row>
    <row r="61" spans="1:17" x14ac:dyDescent="0.35">
      <c r="A61" s="51" t="s">
        <v>88</v>
      </c>
      <c r="B61" s="16" t="s">
        <v>15</v>
      </c>
      <c r="C61" s="18" t="s">
        <v>17</v>
      </c>
      <c r="D61" s="18" t="s">
        <v>69</v>
      </c>
      <c r="E61" s="50">
        <v>0</v>
      </c>
      <c r="G61" s="22"/>
      <c r="H61" s="1"/>
      <c r="I61" s="1"/>
      <c r="J61" s="1"/>
      <c r="K61" s="1"/>
      <c r="L61" s="1"/>
      <c r="M61" s="1"/>
      <c r="N61" s="1"/>
      <c r="O61" s="1"/>
      <c r="P61" s="1"/>
      <c r="Q61" s="23"/>
    </row>
    <row r="62" spans="1:17" x14ac:dyDescent="0.35">
      <c r="A62" s="51" t="s">
        <v>87</v>
      </c>
      <c r="B62" s="16" t="s">
        <v>15</v>
      </c>
      <c r="C62" s="18" t="s">
        <v>17</v>
      </c>
      <c r="D62" s="18" t="s">
        <v>69</v>
      </c>
      <c r="E62" s="50">
        <v>0</v>
      </c>
      <c r="G62" s="22"/>
      <c r="H62" s="1"/>
      <c r="I62" s="1"/>
      <c r="J62" s="1"/>
      <c r="K62" s="1"/>
      <c r="L62" s="1"/>
      <c r="M62" s="1"/>
      <c r="N62" s="1"/>
      <c r="O62" s="1"/>
      <c r="P62" s="1"/>
      <c r="Q62" s="23"/>
    </row>
    <row r="63" spans="1:17" x14ac:dyDescent="0.35">
      <c r="A63" s="51" t="s">
        <v>86</v>
      </c>
      <c r="B63" s="16" t="s">
        <v>15</v>
      </c>
      <c r="C63" s="18" t="s">
        <v>17</v>
      </c>
      <c r="D63" s="18" t="s">
        <v>69</v>
      </c>
      <c r="E63" s="50">
        <v>0</v>
      </c>
      <c r="G63" s="22"/>
      <c r="H63" s="1"/>
      <c r="I63" s="1"/>
      <c r="J63" s="1"/>
      <c r="K63" s="1"/>
      <c r="L63" s="1"/>
      <c r="M63" s="1"/>
      <c r="N63" s="1"/>
      <c r="O63" s="1"/>
      <c r="P63" s="1"/>
      <c r="Q63" s="23"/>
    </row>
    <row r="64" spans="1:17" x14ac:dyDescent="0.35">
      <c r="A64" s="51"/>
      <c r="B64" s="16"/>
      <c r="C64" s="18"/>
      <c r="D64" s="18"/>
      <c r="E64" s="50"/>
      <c r="G64" s="22"/>
      <c r="H64" s="1"/>
      <c r="I64" s="1"/>
      <c r="J64" s="1"/>
      <c r="K64" s="1"/>
      <c r="L64" s="1"/>
      <c r="M64" s="1"/>
      <c r="N64" s="1"/>
      <c r="O64" s="1"/>
      <c r="P64" s="1"/>
      <c r="Q64" s="23"/>
    </row>
    <row r="65" spans="1:17" x14ac:dyDescent="0.35">
      <c r="A65" s="51"/>
      <c r="B65" s="16"/>
      <c r="C65" s="18"/>
      <c r="D65" s="18"/>
      <c r="E65" s="50"/>
      <c r="G65" s="22"/>
      <c r="H65" s="1"/>
      <c r="I65" s="1"/>
      <c r="J65" s="1"/>
      <c r="K65" s="1"/>
      <c r="L65" s="1"/>
      <c r="M65" s="1"/>
      <c r="N65" s="1"/>
      <c r="O65" s="1"/>
      <c r="P65" s="1"/>
      <c r="Q65" s="23"/>
    </row>
    <row r="66" spans="1:17" x14ac:dyDescent="0.35">
      <c r="A66" s="51"/>
      <c r="B66" s="16"/>
      <c r="C66" s="18"/>
      <c r="D66" s="18"/>
      <c r="E66" s="50"/>
      <c r="G66" s="22"/>
      <c r="H66" s="1"/>
      <c r="I66" s="1"/>
      <c r="J66" s="1"/>
      <c r="K66" s="1"/>
      <c r="L66" s="1"/>
      <c r="M66" s="1"/>
      <c r="N66" s="1"/>
      <c r="O66" s="1"/>
      <c r="P66" s="1"/>
      <c r="Q66" s="23"/>
    </row>
    <row r="67" spans="1:17" x14ac:dyDescent="0.35">
      <c r="A67" s="51"/>
      <c r="B67" s="16"/>
      <c r="C67" s="18"/>
      <c r="D67" s="18"/>
      <c r="E67" s="50"/>
      <c r="G67" s="22"/>
      <c r="H67" s="1"/>
      <c r="I67" s="1"/>
      <c r="J67" s="1"/>
      <c r="K67" s="1"/>
      <c r="L67" s="1"/>
      <c r="M67" s="1"/>
      <c r="N67" s="1"/>
      <c r="O67" s="1"/>
      <c r="P67" s="1"/>
      <c r="Q67" s="23"/>
    </row>
    <row r="68" spans="1:17" x14ac:dyDescent="0.35">
      <c r="A68" s="49"/>
      <c r="B68" s="16"/>
      <c r="C68" s="16"/>
      <c r="D68" s="16"/>
      <c r="E68" s="50"/>
      <c r="G68" s="22"/>
      <c r="H68" s="1"/>
      <c r="I68" s="1"/>
      <c r="J68" s="1"/>
      <c r="K68" s="1"/>
      <c r="L68" s="1"/>
      <c r="M68" s="1"/>
      <c r="N68" s="1"/>
      <c r="O68" s="1"/>
      <c r="P68" s="1"/>
      <c r="Q68" s="23"/>
    </row>
    <row r="69" spans="1:17" x14ac:dyDescent="0.35">
      <c r="A69" s="51"/>
      <c r="B69" s="16"/>
      <c r="C69" s="18"/>
      <c r="D69" s="18"/>
      <c r="E69" s="50"/>
      <c r="G69" s="22"/>
      <c r="H69" s="1"/>
      <c r="I69" s="1"/>
      <c r="J69" s="1"/>
      <c r="K69" s="1"/>
      <c r="L69" s="1"/>
      <c r="M69" s="1"/>
      <c r="N69" s="1"/>
      <c r="O69" s="1"/>
      <c r="P69" s="1"/>
      <c r="Q69" s="23"/>
    </row>
    <row r="70" spans="1:17" x14ac:dyDescent="0.35">
      <c r="A70" s="49"/>
      <c r="B70" s="16"/>
      <c r="C70" s="16"/>
      <c r="D70" s="16"/>
      <c r="E70" s="50"/>
      <c r="G70" s="22"/>
      <c r="H70" s="1"/>
      <c r="I70" s="1"/>
      <c r="J70" s="1"/>
      <c r="K70" s="1"/>
      <c r="L70" s="1"/>
      <c r="M70" s="1"/>
      <c r="N70" s="1"/>
      <c r="O70" s="1"/>
      <c r="P70" s="1"/>
      <c r="Q70" s="23"/>
    </row>
    <row r="71" spans="1:17" x14ac:dyDescent="0.35">
      <c r="A71" s="49"/>
      <c r="B71" s="16"/>
      <c r="C71" s="16"/>
      <c r="D71" s="17"/>
      <c r="E71" s="50"/>
      <c r="G71" s="22"/>
      <c r="H71" s="1"/>
      <c r="I71" s="1"/>
      <c r="J71" s="1"/>
      <c r="K71" s="1"/>
      <c r="L71" s="1"/>
      <c r="M71" s="1"/>
      <c r="N71" s="1"/>
      <c r="O71" s="1"/>
      <c r="P71" s="1"/>
      <c r="Q71" s="23"/>
    </row>
    <row r="72" spans="1:17" x14ac:dyDescent="0.35">
      <c r="A72" s="49"/>
      <c r="B72" s="16"/>
      <c r="C72" s="16"/>
      <c r="D72" s="17"/>
      <c r="E72" s="50"/>
      <c r="G72" s="22"/>
      <c r="H72" s="1"/>
      <c r="I72" s="1"/>
      <c r="J72" s="1"/>
      <c r="K72" s="1"/>
      <c r="L72" s="1"/>
      <c r="M72" s="1"/>
      <c r="N72" s="1"/>
      <c r="O72" s="1"/>
      <c r="P72" s="1"/>
      <c r="Q72" s="23"/>
    </row>
    <row r="73" spans="1:17" x14ac:dyDescent="0.35">
      <c r="A73" s="49"/>
      <c r="B73" s="16"/>
      <c r="C73" s="16"/>
      <c r="D73" s="17"/>
      <c r="E73" s="50"/>
      <c r="G73" s="22"/>
      <c r="H73" s="1"/>
      <c r="I73" s="1"/>
      <c r="J73" s="1"/>
      <c r="K73" s="1"/>
      <c r="L73" s="1"/>
      <c r="M73" s="1"/>
      <c r="N73" s="1"/>
      <c r="O73" s="1"/>
      <c r="P73" s="1"/>
      <c r="Q73" s="23"/>
    </row>
    <row r="74" spans="1:17" ht="15" thickBot="1" x14ac:dyDescent="0.4">
      <c r="A74" s="52"/>
      <c r="B74" s="53"/>
      <c r="C74" s="54"/>
      <c r="D74" s="54"/>
      <c r="E74" s="55"/>
      <c r="G74" s="24"/>
      <c r="H74" s="25"/>
      <c r="I74" s="25"/>
      <c r="J74" s="25"/>
      <c r="K74" s="25"/>
      <c r="L74" s="25"/>
      <c r="M74" s="25"/>
      <c r="N74" s="25"/>
      <c r="O74" s="25"/>
      <c r="P74" s="25"/>
      <c r="Q74" s="26"/>
    </row>
    <row r="76" spans="1:17" ht="15" thickBot="1" x14ac:dyDescent="0.4">
      <c r="A76" s="27"/>
      <c r="B76" s="27"/>
      <c r="C76" s="27"/>
      <c r="D76" s="27"/>
      <c r="E76" s="27"/>
      <c r="F76" s="27"/>
      <c r="G76" s="27"/>
      <c r="H76" s="27"/>
      <c r="I76" s="27"/>
      <c r="J76" s="27"/>
      <c r="K76" s="27"/>
      <c r="L76" s="27"/>
      <c r="M76" s="27"/>
      <c r="N76" s="27"/>
      <c r="O76" s="27"/>
      <c r="P76" s="27"/>
      <c r="Q76" s="27"/>
    </row>
    <row r="77" spans="1:17" x14ac:dyDescent="0.35">
      <c r="A77" s="37" t="s">
        <v>25</v>
      </c>
      <c r="B77" s="37"/>
      <c r="C77" s="37"/>
    </row>
    <row r="79" spans="1:17" x14ac:dyDescent="0.35">
      <c r="A79" s="36" t="s">
        <v>22</v>
      </c>
    </row>
    <row r="80" spans="1:17" x14ac:dyDescent="0.35">
      <c r="A80" s="38" t="str">
        <f>IF(A43&gt;"",IF(C43="lesen","LE"&amp;$B$3,$B$3&amp;"LE")&amp;"_"&amp;A43,"")</f>
        <v>LEMC01_Taster_mitte_LED</v>
      </c>
      <c r="B80" s="39" t="str">
        <f>IF(A80&gt;"","int "&amp;A80&amp;REPT(" ",30-LEN(A43))&amp;" = "&amp;E43&amp;" ;"&amp;REPT(" ",20-LEN(E43))&amp;"//"&amp;UPPER(C43),"")</f>
        <v>int LEMC01_Taster_mitte_LED               = 0 ;                   //LESEN</v>
      </c>
      <c r="C80" s="39"/>
      <c r="D80" s="40"/>
      <c r="E80" s="39" t="str">
        <f>IF(A80&gt;"","// "&amp;D43,"")</f>
        <v>// Bei 0 Led aus, 1 Led blinkt und 2 Led an</v>
      </c>
      <c r="F80" s="41"/>
      <c r="G80" s="41"/>
      <c r="H80" s="41"/>
      <c r="I80" s="41"/>
      <c r="J80" s="41"/>
      <c r="K80" s="41"/>
      <c r="L80" s="41"/>
      <c r="M80" s="41"/>
      <c r="N80" s="41"/>
      <c r="O80" s="41"/>
      <c r="P80" s="41"/>
      <c r="Q80" s="41"/>
    </row>
    <row r="81" spans="1:17" x14ac:dyDescent="0.35">
      <c r="A81" s="38" t="str">
        <f>IF(A70&gt;"",IF(C70="lesen","LE"&amp;$B$3,$B$3&amp;"LE")&amp;"_"&amp;A70,"")</f>
        <v/>
      </c>
      <c r="B81" s="39" t="str">
        <f>IF(A81&gt;"","int "&amp;A81&amp;REPT(" ",30-LEN(A70))&amp;" = "&amp;E70&amp;" ;"&amp;REPT(" ",20-LEN(E70))&amp;"//"&amp;UPPER(C70),"")</f>
        <v/>
      </c>
      <c r="C81" s="39"/>
      <c r="D81" s="40"/>
      <c r="E81" s="39" t="str">
        <f>IF(A81&gt;"","// "&amp;D70,"")</f>
        <v/>
      </c>
      <c r="F81" s="41"/>
      <c r="G81" s="41"/>
      <c r="H81" s="41"/>
      <c r="I81" s="41"/>
      <c r="J81" s="41"/>
      <c r="K81" s="41"/>
      <c r="L81" s="41"/>
      <c r="M81" s="41"/>
      <c r="N81" s="41"/>
      <c r="O81" s="41"/>
      <c r="P81" s="41"/>
      <c r="Q81" s="41"/>
    </row>
    <row r="82" spans="1:17" x14ac:dyDescent="0.35">
      <c r="A82" s="38" t="str">
        <f>IF(A71&gt;"",IF(C71="lesen","LE"&amp;$B$3,$B$3&amp;"LE")&amp;"_"&amp;A71,"")</f>
        <v/>
      </c>
      <c r="B82" s="39" t="str">
        <f>IF(A82&gt;"","int "&amp;A82&amp;REPT(" ",30-LEN(A71))&amp;" = "&amp;E71&amp;" ;"&amp;REPT(" ",20-LEN(E71))&amp;"//"&amp;UPPER(C71),"")</f>
        <v/>
      </c>
      <c r="C82" s="39"/>
      <c r="D82" s="39"/>
      <c r="E82" s="39" t="str">
        <f>IF(A82&gt;"","// "&amp;D71,"")</f>
        <v/>
      </c>
      <c r="F82" s="41"/>
      <c r="G82" s="41"/>
      <c r="H82" s="41"/>
      <c r="I82" s="41"/>
      <c r="J82" s="41"/>
      <c r="K82" s="41"/>
      <c r="L82" s="41"/>
      <c r="M82" s="41"/>
      <c r="N82" s="41"/>
      <c r="O82" s="41"/>
      <c r="P82" s="41"/>
      <c r="Q82" s="41"/>
    </row>
    <row r="83" spans="1:17" x14ac:dyDescent="0.35">
      <c r="A83" s="38" t="str">
        <f>IF(A72&gt;"",IF(C72="lesen","LE"&amp;$B$3,$B$3&amp;"LE")&amp;"_"&amp;A72,"")</f>
        <v/>
      </c>
      <c r="B83" s="39" t="str">
        <f>IF(A83&gt;"","int "&amp;A83&amp;REPT(" ",30-LEN(A72))&amp;" = "&amp;E72&amp;" ;"&amp;REPT(" ",20-LEN(E72))&amp;"//"&amp;UPPER(C72),"")</f>
        <v/>
      </c>
      <c r="C83" s="39"/>
      <c r="D83" s="40"/>
      <c r="E83" s="39" t="str">
        <f>IF(A83&gt;"","// "&amp;D72,"")</f>
        <v/>
      </c>
      <c r="F83" s="41"/>
      <c r="G83" s="41"/>
      <c r="H83" s="41"/>
      <c r="I83" s="41"/>
      <c r="J83" s="41"/>
      <c r="K83" s="41"/>
      <c r="L83" s="41"/>
      <c r="M83" s="41"/>
      <c r="N83" s="41"/>
      <c r="O83" s="41"/>
      <c r="P83" s="41"/>
      <c r="Q83" s="41"/>
    </row>
    <row r="84" spans="1:17" x14ac:dyDescent="0.35">
      <c r="A84" s="38" t="str">
        <f>IF(A73&gt;"",IF(C73="lesen","LE"&amp;$B$3,$B$3&amp;"LE")&amp;"_"&amp;A73,"")</f>
        <v/>
      </c>
      <c r="B84" s="39" t="str">
        <f>IF(A84&gt;"","int "&amp;A84&amp;REPT(" ",30-LEN(A73))&amp;" = "&amp;E73&amp;" ;"&amp;REPT(" ",20-LEN(E73))&amp;"//"&amp;UPPER(C73),"")</f>
        <v/>
      </c>
      <c r="C84" s="39"/>
      <c r="D84" s="39"/>
      <c r="E84" s="39" t="str">
        <f>IF(A84&gt;"","// "&amp;D73,"")</f>
        <v/>
      </c>
      <c r="F84" s="41"/>
      <c r="G84" s="41"/>
      <c r="H84" s="41"/>
      <c r="I84" s="41"/>
      <c r="J84" s="41"/>
      <c r="K84" s="41"/>
      <c r="L84" s="41"/>
      <c r="M84" s="41"/>
      <c r="N84" s="41"/>
      <c r="O84" s="41"/>
      <c r="P84" s="41"/>
      <c r="Q84" s="41"/>
    </row>
    <row r="85" spans="1:17" x14ac:dyDescent="0.35">
      <c r="A85" s="38" t="str">
        <f>IF(A68&gt;"",IF(C68="lesen","LE"&amp;$B$3,$B$3&amp;"LE")&amp;"_"&amp;A68,"")</f>
        <v/>
      </c>
      <c r="B85" s="39" t="str">
        <f>IF(A85&gt;"","int "&amp;A85&amp;REPT(" ",30-LEN(A68))&amp;" = "&amp;E68&amp;" ;"&amp;REPT(" ",20-LEN(E68))&amp;"//"&amp;UPPER(C68),"")</f>
        <v/>
      </c>
      <c r="C85" s="39"/>
      <c r="D85" s="39"/>
      <c r="E85" s="39" t="str">
        <f>IF(A85&gt;"","// "&amp;D68,"")</f>
        <v/>
      </c>
      <c r="F85" s="41"/>
      <c r="G85" s="41"/>
      <c r="H85" s="41"/>
      <c r="I85" s="41"/>
      <c r="J85" s="41"/>
      <c r="K85" s="41"/>
      <c r="L85" s="41"/>
      <c r="M85" s="41"/>
      <c r="N85" s="41"/>
      <c r="O85" s="41"/>
      <c r="P85" s="41"/>
      <c r="Q85" s="41"/>
    </row>
    <row r="86" spans="1:17" x14ac:dyDescent="0.35">
      <c r="A86" s="38" t="str">
        <f>IF(A69&gt;"",IF(C69="lesen","LE"&amp;$B$3,$B$3&amp;"LE")&amp;"_"&amp;A69,"")</f>
        <v/>
      </c>
      <c r="B86" s="39" t="str">
        <f>IF(A86&gt;"","int "&amp;A86&amp;REPT(" ",30-LEN(A69))&amp;" = "&amp;E69&amp;" ;"&amp;REPT(" ",20-LEN(E69))&amp;"//"&amp;UPPER(C69),"")</f>
        <v/>
      </c>
      <c r="C86" s="39"/>
      <c r="D86" s="39"/>
      <c r="E86" s="39" t="str">
        <f>IF(A86&gt;"","// "&amp;D69,"")</f>
        <v/>
      </c>
      <c r="F86" s="41"/>
      <c r="G86" s="41"/>
      <c r="H86" s="41"/>
      <c r="I86" s="41"/>
      <c r="J86" s="41"/>
      <c r="K86" s="41"/>
      <c r="L86" s="41"/>
      <c r="M86" s="41"/>
      <c r="N86" s="41"/>
      <c r="O86" s="41"/>
      <c r="P86" s="41"/>
      <c r="Q86" s="41"/>
    </row>
    <row r="87" spans="1:17" x14ac:dyDescent="0.35">
      <c r="A87" s="38" t="str">
        <f>IF(A44&gt;"",IF(C44="lesen","LE"&amp;$B$3,$B$3&amp;"LE")&amp;"_"&amp;A44,"")</f>
        <v>LEMC01_Taster_links_LED</v>
      </c>
      <c r="B87" s="39" t="str">
        <f>IF(A87&gt;"","int "&amp;A87&amp;REPT(" ",30-LEN(A44))&amp;" = "&amp;E44&amp;" ;"&amp;REPT(" ",20-LEN(E44))&amp;"//"&amp;UPPER(C44),"")</f>
        <v>int LEMC01_Taster_links_LED               = 0 ;                   //LESEN</v>
      </c>
      <c r="C87" s="42"/>
      <c r="D87" s="42"/>
      <c r="E87" s="39" t="str">
        <f>IF(A87&gt;"","// "&amp;D44,"")</f>
        <v>// Bei 0 Led aus, 1 Led blinkt und 2 Led an</v>
      </c>
      <c r="F87" s="41"/>
      <c r="G87" s="41"/>
      <c r="H87" s="41"/>
      <c r="I87" s="41"/>
      <c r="J87" s="41"/>
      <c r="K87" s="41"/>
      <c r="L87" s="41"/>
      <c r="M87" s="41"/>
      <c r="N87" s="41"/>
      <c r="O87" s="41"/>
      <c r="P87" s="41"/>
      <c r="Q87" s="41"/>
    </row>
    <row r="88" spans="1:17" x14ac:dyDescent="0.35">
      <c r="A88" s="38" t="str">
        <f>IF(A45&gt;"",IF(C45="lesen","LE"&amp;$B$3,$B$3&amp;"LE")&amp;"_"&amp;A45,"")</f>
        <v>LEMC01_Taster_rechts_LED</v>
      </c>
      <c r="B88" s="39" t="str">
        <f>IF(A88&gt;"","int "&amp;A88&amp;REPT(" ",30-LEN(A45))&amp;" = "&amp;E45&amp;" ;"&amp;REPT(" ",20-LEN(E45))&amp;"//"&amp;UPPER(C45),"")</f>
        <v>int LEMC01_Taster_rechts_LED              = 0 ;                   //LESEN</v>
      </c>
      <c r="C88" s="42"/>
      <c r="D88" s="42"/>
      <c r="E88" s="39" t="str">
        <f>IF(A88&gt;"","// "&amp;D45,"")</f>
        <v>// Bei 0 Led aus, 1 Led blinkt und 2 Led an</v>
      </c>
      <c r="F88" s="41"/>
      <c r="G88" s="41"/>
      <c r="H88" s="41"/>
      <c r="I88" s="41"/>
      <c r="J88" s="41"/>
      <c r="K88" s="41"/>
      <c r="L88" s="41"/>
      <c r="M88" s="41"/>
      <c r="N88" s="41"/>
      <c r="O88" s="41"/>
      <c r="P88" s="41"/>
      <c r="Q88" s="41"/>
    </row>
    <row r="89" spans="1:17" x14ac:dyDescent="0.35">
      <c r="A89" s="38" t="str">
        <f>IF(A46&gt;"",IF(C46="lesen","LE"&amp;$B$3,$B$3&amp;"LE")&amp;"_"&amp;A46,"")</f>
        <v>LEMC01_Blitz</v>
      </c>
      <c r="B89" s="39" t="str">
        <f>IF(A89&gt;"","int "&amp;A89&amp;REPT(" ",30-LEN(A46))&amp;" = "&amp;E46&amp;" ;"&amp;REPT(" ",20-LEN(E46))&amp;"//"&amp;UPPER(C46),"")</f>
        <v>int LEMC01_Blitz                          = 0 ;                   //LESEN</v>
      </c>
      <c r="C89" s="42"/>
      <c r="D89" s="42"/>
      <c r="E89" s="39" t="str">
        <f>IF(A89&gt;"","// "&amp;D46,"")</f>
        <v>// Bei 1 Blitz ausgeloest, bei 0 nicht aktiv</v>
      </c>
      <c r="F89" s="41"/>
      <c r="G89" s="41"/>
      <c r="H89" s="41"/>
      <c r="I89" s="41"/>
      <c r="J89" s="41"/>
      <c r="K89" s="41"/>
      <c r="L89" s="41"/>
      <c r="M89" s="41"/>
      <c r="N89" s="41"/>
      <c r="O89" s="41"/>
      <c r="P89" s="41"/>
      <c r="Q89" s="41"/>
    </row>
    <row r="90" spans="1:17" x14ac:dyDescent="0.35">
      <c r="A90" s="38" t="str">
        <f>IF(A47&gt;"",IF(C47="lesen","LE"&amp;$B$3,$B$3&amp;"LE")&amp;"_"&amp;A47,"")</f>
        <v>LEMC01_Relais_Fokus</v>
      </c>
      <c r="B90" s="39" t="str">
        <f>IF(A90&gt;"","int "&amp;A90&amp;REPT(" ",30-LEN(A47))&amp;" = "&amp;E47&amp;" ;"&amp;REPT(" ",20-LEN(E47))&amp;"//"&amp;UPPER(C47),"")</f>
        <v>int LEMC01_Relais_Fokus                   = 1 ;                   //LESEN</v>
      </c>
      <c r="C90" s="42"/>
      <c r="D90" s="42"/>
      <c r="E90" s="39" t="str">
        <f>IF(A90&gt;"","// "&amp;D47,"")</f>
        <v xml:space="preserve">// Bei 0 Relais nicht angesteuert, bei 1 angesteuert </v>
      </c>
      <c r="F90" s="41"/>
      <c r="G90" s="41"/>
      <c r="H90" s="41"/>
      <c r="I90" s="41"/>
      <c r="J90" s="41"/>
      <c r="K90" s="41"/>
      <c r="L90" s="41"/>
      <c r="M90" s="41"/>
      <c r="N90" s="41"/>
      <c r="O90" s="41"/>
      <c r="P90" s="41"/>
      <c r="Q90" s="41"/>
    </row>
    <row r="91" spans="1:17" x14ac:dyDescent="0.35">
      <c r="A91" s="38" t="str">
        <f t="shared" ref="A81:A111" si="0">IF(A54&gt;"",IF(C54="lesen","LE"&amp;$B$3,$B$3&amp;"LE")&amp;"_"&amp;A54,"")</f>
        <v>LEMC01_Reserve3</v>
      </c>
      <c r="B91" s="39" t="str">
        <f t="shared" ref="B81:B111" si="1">IF(A91&gt;"","int "&amp;A91&amp;REPT(" ",30-LEN(A54))&amp;" = "&amp;E54&amp;" ;"&amp;REPT(" ",20-LEN(E54))&amp;"//"&amp;UPPER(C54),"")</f>
        <v>int LEMC01_Reserve3                       = 0 ;                   //LESEN</v>
      </c>
      <c r="C91" s="42"/>
      <c r="D91" s="42"/>
      <c r="E91" s="39" t="str">
        <f t="shared" ref="E81:E111" si="2">IF(A91&gt;"","// "&amp;D54,"")</f>
        <v>// …</v>
      </c>
      <c r="F91" s="41"/>
      <c r="G91" s="41"/>
      <c r="H91" s="41"/>
      <c r="I91" s="41"/>
      <c r="J91" s="41"/>
      <c r="K91" s="41"/>
      <c r="L91" s="41"/>
      <c r="M91" s="41"/>
      <c r="N91" s="41"/>
      <c r="O91" s="41"/>
      <c r="P91" s="41"/>
      <c r="Q91" s="41"/>
    </row>
    <row r="92" spans="1:17" x14ac:dyDescent="0.35">
      <c r="A92" s="38" t="str">
        <f t="shared" si="0"/>
        <v>LEMC01_Reserve4</v>
      </c>
      <c r="B92" s="39" t="str">
        <f t="shared" si="1"/>
        <v>int LEMC01_Reserve4                       = 0 ;                   //LESEN</v>
      </c>
      <c r="C92" s="42"/>
      <c r="D92" s="42"/>
      <c r="E92" s="39" t="str">
        <f t="shared" si="2"/>
        <v>// …</v>
      </c>
      <c r="F92" s="41"/>
      <c r="G92" s="41"/>
      <c r="H92" s="41"/>
      <c r="I92" s="41"/>
      <c r="J92" s="41"/>
      <c r="K92" s="41"/>
      <c r="L92" s="41"/>
      <c r="M92" s="41"/>
      <c r="N92" s="41"/>
      <c r="O92" s="41"/>
      <c r="P92" s="41"/>
      <c r="Q92" s="41"/>
    </row>
    <row r="93" spans="1:17" x14ac:dyDescent="0.35">
      <c r="A93" s="38" t="str">
        <f t="shared" si="0"/>
        <v>MC01LE_Taster_mitte</v>
      </c>
      <c r="B93" s="39" t="str">
        <f t="shared" si="1"/>
        <v>int MC01LE_Taster_mitte                   = 1 ;                   //SCHREIBEN</v>
      </c>
      <c r="C93" s="42"/>
      <c r="D93" s="42"/>
      <c r="E93" s="39" t="str">
        <f t="shared" si="2"/>
        <v>// Taster bei 0 betaetigt und bei 1 in Ruhelage</v>
      </c>
      <c r="F93" s="41"/>
      <c r="G93" s="41"/>
      <c r="H93" s="41"/>
      <c r="I93" s="41"/>
      <c r="J93" s="41"/>
      <c r="K93" s="41"/>
      <c r="L93" s="41"/>
      <c r="M93" s="41"/>
      <c r="N93" s="41"/>
      <c r="O93" s="41"/>
      <c r="P93" s="41"/>
      <c r="Q93" s="41"/>
    </row>
    <row r="94" spans="1:17" x14ac:dyDescent="0.35">
      <c r="A94" s="38" t="str">
        <f>IF(A64&gt;"",IF(C64="lesen","LE"&amp;$B$3,$B$3&amp;"LE")&amp;"_"&amp;A64,"")</f>
        <v/>
      </c>
      <c r="B94" s="39" t="str">
        <f>IF(A94&gt;"","int "&amp;A94&amp;REPT(" ",30-LEN(A64))&amp;" = "&amp;E64&amp;" ;"&amp;REPT(" ",20-LEN(E64))&amp;"//"&amp;UPPER(C64),"")</f>
        <v/>
      </c>
      <c r="C94" s="42"/>
      <c r="D94" s="42"/>
      <c r="E94" s="39" t="str">
        <f>IF(A94&gt;"","// "&amp;D64,"")</f>
        <v/>
      </c>
      <c r="F94" s="41"/>
      <c r="G94" s="41"/>
      <c r="H94" s="41"/>
      <c r="I94" s="41"/>
      <c r="J94" s="41"/>
      <c r="K94" s="41"/>
      <c r="L94" s="41"/>
      <c r="M94" s="41"/>
      <c r="N94" s="41"/>
      <c r="O94" s="41"/>
      <c r="P94" s="41"/>
      <c r="Q94" s="41"/>
    </row>
    <row r="95" spans="1:17" x14ac:dyDescent="0.35">
      <c r="A95" s="38" t="str">
        <f>IF(A65&gt;"",IF(C65="lesen","LE"&amp;$B$3,$B$3&amp;"LE")&amp;"_"&amp;A65,"")</f>
        <v/>
      </c>
      <c r="B95" s="39" t="str">
        <f>IF(A95&gt;"","int "&amp;A95&amp;REPT(" ",30-LEN(A65))&amp;" = "&amp;E65&amp;" ;"&amp;REPT(" ",20-LEN(E65))&amp;"//"&amp;UPPER(C65),"")</f>
        <v/>
      </c>
      <c r="C95" s="42"/>
      <c r="D95" s="42"/>
      <c r="E95" s="39" t="str">
        <f>IF(A95&gt;"","// "&amp;D65,"")</f>
        <v/>
      </c>
      <c r="F95" s="41"/>
      <c r="G95" s="41"/>
      <c r="H95" s="41"/>
      <c r="I95" s="41"/>
      <c r="J95" s="41"/>
      <c r="K95" s="41"/>
      <c r="L95" s="41"/>
      <c r="M95" s="41"/>
      <c r="N95" s="41"/>
      <c r="O95" s="41"/>
      <c r="P95" s="41"/>
      <c r="Q95" s="41"/>
    </row>
    <row r="96" spans="1:17" x14ac:dyDescent="0.35">
      <c r="A96" s="38" t="str">
        <f t="shared" si="0"/>
        <v>MC01LE_Praesenz</v>
      </c>
      <c r="B96" s="39" t="str">
        <f t="shared" si="1"/>
        <v>int MC01LE_Praesenz                       = 1 ;                   //SCHREIBEN</v>
      </c>
      <c r="C96" s="42"/>
      <c r="D96" s="42"/>
      <c r="E96" s="39" t="str">
        <f t="shared" si="2"/>
        <v>// Bei 1 Praesenz Aktiv, bei 2 keine Praesenz</v>
      </c>
      <c r="F96" s="41"/>
      <c r="G96" s="41"/>
      <c r="H96" s="41"/>
      <c r="I96" s="41"/>
      <c r="J96" s="41"/>
      <c r="K96" s="41"/>
      <c r="L96" s="41"/>
      <c r="M96" s="41"/>
      <c r="N96" s="41"/>
      <c r="O96" s="41"/>
      <c r="P96" s="41"/>
      <c r="Q96" s="41"/>
    </row>
    <row r="97" spans="1:17" x14ac:dyDescent="0.35">
      <c r="A97" s="38" t="str">
        <f>IF(A57&gt;"",IF(C57="lesen","LE"&amp;$B$3,$B$3&amp;"LE")&amp;"_"&amp;A57,"")</f>
        <v>MC01LE_Taster_links</v>
      </c>
      <c r="B97" s="39" t="str">
        <f>IF(A97&gt;"","int "&amp;A97&amp;REPT(" ",30-LEN(A57))&amp;" = "&amp;E57&amp;" ;"&amp;REPT(" ",20-LEN(E57))&amp;"//"&amp;UPPER(C57),"")</f>
        <v>int MC01LE_Taster_links                   = 1 ;                   //SCHREIBEN</v>
      </c>
      <c r="C97" s="42"/>
      <c r="D97" s="42"/>
      <c r="E97" s="39" t="str">
        <f>IF(A97&gt;"","// "&amp;D57,"")</f>
        <v>// Taster bei 0 betaetigt und bei 1 in Ruhelage</v>
      </c>
      <c r="F97" s="41"/>
      <c r="G97" s="41"/>
      <c r="H97" s="41"/>
      <c r="I97" s="41"/>
      <c r="J97" s="41"/>
      <c r="K97" s="41"/>
      <c r="L97" s="41"/>
      <c r="M97" s="41"/>
      <c r="N97" s="41"/>
      <c r="O97" s="41"/>
      <c r="P97" s="41"/>
      <c r="Q97" s="41"/>
    </row>
    <row r="98" spans="1:17" x14ac:dyDescent="0.35">
      <c r="A98" s="38" t="str">
        <f>IF(A58&gt;"",IF(C58="lesen","LE"&amp;$B$3,$B$3&amp;"LE")&amp;"_"&amp;A58,"")</f>
        <v>MC01LE_Taster_rechts</v>
      </c>
      <c r="B98" s="39" t="str">
        <f>IF(A98&gt;"","int "&amp;A98&amp;REPT(" ",30-LEN(A58))&amp;" = "&amp;E58&amp;" ;"&amp;REPT(" ",20-LEN(E58))&amp;"//"&amp;UPPER(C58),"")</f>
        <v>int MC01LE_Taster_rechts                  = 1 ;                   //SCHREIBEN</v>
      </c>
      <c r="C98" s="42"/>
      <c r="D98" s="42"/>
      <c r="E98" s="39" t="str">
        <f>IF(A98&gt;"","// "&amp;D58,"")</f>
        <v>// Taster bei 0 betaetigt und bei 1 in Ruhelage</v>
      </c>
      <c r="F98" s="41"/>
      <c r="G98" s="41"/>
      <c r="H98" s="41"/>
      <c r="I98" s="41"/>
      <c r="J98" s="41"/>
      <c r="K98" s="41"/>
      <c r="L98" s="41"/>
      <c r="M98" s="41"/>
      <c r="N98" s="41"/>
      <c r="O98" s="41"/>
      <c r="P98" s="41"/>
      <c r="Q98" s="41"/>
    </row>
    <row r="99" spans="1:17" x14ac:dyDescent="0.35">
      <c r="A99" s="38" t="str">
        <f t="shared" si="0"/>
        <v>MC01LE_Reserve7</v>
      </c>
      <c r="B99" s="39" t="str">
        <f t="shared" si="1"/>
        <v>int MC01LE_Reserve7                       = 0 ;                   //SCHREIBEN</v>
      </c>
      <c r="C99" s="42"/>
      <c r="D99" s="42"/>
      <c r="E99" s="39" t="str">
        <f t="shared" si="2"/>
        <v>// …</v>
      </c>
      <c r="F99" s="41"/>
      <c r="G99" s="41"/>
      <c r="H99" s="41"/>
      <c r="I99" s="41"/>
      <c r="J99" s="41"/>
      <c r="K99" s="41"/>
      <c r="L99" s="41"/>
      <c r="M99" s="41"/>
      <c r="N99" s="41"/>
      <c r="O99" s="41"/>
      <c r="P99" s="41"/>
      <c r="Q99" s="41"/>
    </row>
    <row r="100" spans="1:17" x14ac:dyDescent="0.35">
      <c r="A100" s="38" t="str">
        <f t="shared" si="0"/>
        <v>MC01LE_Reserve8</v>
      </c>
      <c r="B100" s="39" t="str">
        <f t="shared" si="1"/>
        <v>int MC01LE_Reserve8                       = 0 ;                   //SCHREIBEN</v>
      </c>
      <c r="C100" s="42"/>
      <c r="D100" s="42"/>
      <c r="E100" s="39" t="str">
        <f t="shared" si="2"/>
        <v>// …</v>
      </c>
      <c r="F100" s="41"/>
      <c r="G100" s="41"/>
      <c r="H100" s="41"/>
      <c r="I100" s="41"/>
      <c r="J100" s="41"/>
      <c r="K100" s="41"/>
      <c r="L100" s="41"/>
      <c r="M100" s="41"/>
      <c r="N100" s="41"/>
      <c r="O100" s="41"/>
      <c r="P100" s="41"/>
      <c r="Q100" s="41"/>
    </row>
    <row r="101" spans="1:17" x14ac:dyDescent="0.35">
      <c r="A101" s="38" t="e">
        <f>IF(#REF!&gt;"",IF(#REF!="lesen","LE"&amp;$B$3,$B$3&amp;"LE")&amp;"_"&amp;#REF!,"")</f>
        <v>#REF!</v>
      </c>
      <c r="B101" s="39" t="e">
        <f>IF(A101&gt;"","int "&amp;A101&amp;REPT(" ",30-LEN(#REF!))&amp;" = "&amp;#REF!&amp;" ;"&amp;REPT(" ",20-LEN(#REF!))&amp;"//"&amp;UPPER(#REF!),"")</f>
        <v>#REF!</v>
      </c>
      <c r="C101" s="42"/>
      <c r="D101" s="42"/>
      <c r="E101" s="39" t="e">
        <f>IF(A101&gt;"","// "&amp;#REF!,"")</f>
        <v>#REF!</v>
      </c>
      <c r="F101" s="41"/>
      <c r="G101" s="41"/>
      <c r="H101" s="41"/>
      <c r="I101" s="41"/>
      <c r="J101" s="41"/>
      <c r="K101" s="41"/>
      <c r="L101" s="41"/>
      <c r="M101" s="41"/>
      <c r="N101" s="41"/>
      <c r="O101" s="41"/>
      <c r="P101" s="41"/>
      <c r="Q101" s="41"/>
    </row>
    <row r="102" spans="1:17" x14ac:dyDescent="0.35">
      <c r="A102" s="38" t="e">
        <f>IF(#REF!&gt;"",IF(#REF!="lesen","LE"&amp;$B$3,$B$3&amp;"LE")&amp;"_"&amp;#REF!,"")</f>
        <v>#REF!</v>
      </c>
      <c r="B102" s="39" t="e">
        <f>IF(A102&gt;"","int "&amp;A102&amp;REPT(" ",30-LEN(#REF!))&amp;" = "&amp;#REF!&amp;" ;"&amp;REPT(" ",20-LEN(#REF!))&amp;"//"&amp;UPPER(#REF!),"")</f>
        <v>#REF!</v>
      </c>
      <c r="C102" s="42"/>
      <c r="D102" s="42"/>
      <c r="E102" s="39" t="e">
        <f>IF(A102&gt;"","// "&amp;#REF!,"")</f>
        <v>#REF!</v>
      </c>
      <c r="F102" s="41"/>
      <c r="G102" s="41"/>
      <c r="H102" s="41"/>
      <c r="I102" s="41"/>
      <c r="J102" s="41"/>
      <c r="K102" s="41"/>
      <c r="L102" s="41"/>
      <c r="M102" s="41"/>
      <c r="N102" s="41"/>
      <c r="O102" s="41"/>
      <c r="P102" s="41"/>
      <c r="Q102" s="41"/>
    </row>
    <row r="103" spans="1:17" x14ac:dyDescent="0.35">
      <c r="A103" s="38" t="str">
        <f t="shared" si="0"/>
        <v/>
      </c>
      <c r="B103" s="39" t="str">
        <f t="shared" si="1"/>
        <v/>
      </c>
      <c r="C103" s="42"/>
      <c r="D103" s="42"/>
      <c r="E103" s="39" t="str">
        <f t="shared" si="2"/>
        <v/>
      </c>
      <c r="F103" s="41"/>
      <c r="G103" s="41"/>
      <c r="H103" s="41"/>
      <c r="I103" s="41"/>
      <c r="J103" s="41"/>
      <c r="K103" s="41"/>
      <c r="L103" s="41"/>
      <c r="M103" s="41"/>
      <c r="N103" s="41"/>
      <c r="O103" s="41"/>
      <c r="P103" s="41"/>
      <c r="Q103" s="41"/>
    </row>
    <row r="104" spans="1:17" x14ac:dyDescent="0.35">
      <c r="A104" s="38" t="str">
        <f t="shared" si="0"/>
        <v/>
      </c>
      <c r="B104" s="39" t="str">
        <f t="shared" si="1"/>
        <v/>
      </c>
      <c r="C104" s="42"/>
      <c r="D104" s="42"/>
      <c r="E104" s="39" t="str">
        <f t="shared" si="2"/>
        <v/>
      </c>
      <c r="F104" s="41"/>
      <c r="G104" s="41"/>
      <c r="H104" s="41"/>
      <c r="I104" s="41"/>
      <c r="J104" s="41"/>
      <c r="K104" s="41"/>
      <c r="L104" s="41"/>
      <c r="M104" s="41"/>
      <c r="N104" s="41"/>
      <c r="O104" s="41"/>
      <c r="P104" s="41"/>
      <c r="Q104" s="41"/>
    </row>
    <row r="105" spans="1:17" x14ac:dyDescent="0.35">
      <c r="A105" s="38" t="e">
        <f>IF(#REF!&gt;"",IF(#REF!="lesen","LE"&amp;$B$3,$B$3&amp;"LE")&amp;"_"&amp;#REF!,"")</f>
        <v>#REF!</v>
      </c>
      <c r="B105" s="39" t="e">
        <f>IF(A105&gt;"","int "&amp;A105&amp;REPT(" ",30-LEN(#REF!))&amp;" = "&amp;#REF!&amp;" ;"&amp;REPT(" ",20-LEN(#REF!))&amp;"//"&amp;UPPER(#REF!),"")</f>
        <v>#REF!</v>
      </c>
      <c r="C105" s="42"/>
      <c r="D105" s="42"/>
      <c r="E105" s="39" t="e">
        <f>IF(A105&gt;"","// "&amp;#REF!,"")</f>
        <v>#REF!</v>
      </c>
      <c r="F105" s="41"/>
      <c r="G105" s="41"/>
      <c r="H105" s="41"/>
      <c r="I105" s="41"/>
      <c r="J105" s="41"/>
      <c r="K105" s="41"/>
      <c r="L105" s="41"/>
      <c r="M105" s="41"/>
      <c r="N105" s="41"/>
      <c r="O105" s="41"/>
      <c r="P105" s="41"/>
      <c r="Q105" s="41"/>
    </row>
    <row r="106" spans="1:17" x14ac:dyDescent="0.35">
      <c r="A106" s="38" t="e">
        <f>IF(#REF!&gt;"",IF(#REF!="lesen","LE"&amp;$B$3,$B$3&amp;"LE")&amp;"_"&amp;#REF!,"")</f>
        <v>#REF!</v>
      </c>
      <c r="B106" s="39" t="e">
        <f>IF(A106&gt;"","int "&amp;A106&amp;REPT(" ",30-LEN(#REF!))&amp;" = "&amp;#REF!&amp;" ;"&amp;REPT(" ",20-LEN(#REF!))&amp;"//"&amp;UPPER(#REF!),"")</f>
        <v>#REF!</v>
      </c>
      <c r="C106" s="42"/>
      <c r="D106" s="42"/>
      <c r="E106" s="39" t="e">
        <f>IF(A106&gt;"","// "&amp;#REF!,"")</f>
        <v>#REF!</v>
      </c>
      <c r="F106" s="41"/>
      <c r="G106" s="41"/>
      <c r="H106" s="41"/>
      <c r="I106" s="41"/>
      <c r="J106" s="41"/>
      <c r="K106" s="41"/>
      <c r="L106" s="41"/>
      <c r="M106" s="41"/>
      <c r="N106" s="41"/>
      <c r="O106" s="41"/>
      <c r="P106" s="41"/>
      <c r="Q106" s="41"/>
    </row>
    <row r="107" spans="1:17" x14ac:dyDescent="0.35">
      <c r="A107" s="38" t="e">
        <f>IF(#REF!&gt;"",IF(#REF!="lesen","LE"&amp;$B$3,$B$3&amp;"LE")&amp;"_"&amp;#REF!,"")</f>
        <v>#REF!</v>
      </c>
      <c r="B107" s="39" t="e">
        <f>IF(A107&gt;"","int "&amp;A107&amp;REPT(" ",30-LEN(#REF!))&amp;" = "&amp;#REF!&amp;" ;"&amp;REPT(" ",20-LEN(#REF!))&amp;"//"&amp;UPPER(#REF!),"")</f>
        <v>#REF!</v>
      </c>
      <c r="C107" s="42"/>
      <c r="D107" s="42"/>
      <c r="E107" s="39" t="e">
        <f>IF(A107&gt;"","// "&amp;#REF!,"")</f>
        <v>#REF!</v>
      </c>
      <c r="F107" s="41"/>
      <c r="G107" s="41"/>
      <c r="H107" s="41"/>
      <c r="I107" s="41"/>
      <c r="J107" s="41"/>
      <c r="K107" s="41"/>
      <c r="L107" s="41"/>
      <c r="M107" s="41"/>
      <c r="N107" s="41"/>
      <c r="O107" s="41"/>
      <c r="P107" s="41"/>
      <c r="Q107" s="41"/>
    </row>
    <row r="108" spans="1:17" x14ac:dyDescent="0.35">
      <c r="A108" s="38" t="e">
        <f>IF(#REF!&gt;"",IF(#REF!="lesen","LE"&amp;$B$3,$B$3&amp;"LE")&amp;"_"&amp;#REF!,"")</f>
        <v>#REF!</v>
      </c>
      <c r="B108" s="39" t="e">
        <f>IF(A108&gt;"","int "&amp;A108&amp;REPT(" ",30-LEN(#REF!))&amp;" = "&amp;#REF!&amp;" ;"&amp;REPT(" ",20-LEN(#REF!))&amp;"//"&amp;UPPER(#REF!),"")</f>
        <v>#REF!</v>
      </c>
      <c r="C108" s="42"/>
      <c r="D108" s="42"/>
      <c r="E108" s="39" t="e">
        <f>IF(A108&gt;"","// "&amp;#REF!,"")</f>
        <v>#REF!</v>
      </c>
      <c r="F108" s="41"/>
      <c r="G108" s="41"/>
      <c r="H108" s="41"/>
      <c r="I108" s="41"/>
      <c r="J108" s="41"/>
      <c r="K108" s="41"/>
      <c r="L108" s="41"/>
      <c r="M108" s="41"/>
      <c r="N108" s="41"/>
      <c r="O108" s="41"/>
      <c r="P108" s="41"/>
      <c r="Q108" s="41"/>
    </row>
    <row r="109" spans="1:17" x14ac:dyDescent="0.35">
      <c r="A109" s="38" t="e">
        <f>IF(#REF!&gt;"",IF(#REF!="lesen","LE"&amp;$B$3,$B$3&amp;"LE")&amp;"_"&amp;#REF!,"")</f>
        <v>#REF!</v>
      </c>
      <c r="B109" s="39" t="e">
        <f>IF(A109&gt;"","int "&amp;A109&amp;REPT(" ",30-LEN(#REF!))&amp;" = "&amp;#REF!&amp;" ;"&amp;REPT(" ",20-LEN(#REF!))&amp;"//"&amp;UPPER(#REF!),"")</f>
        <v>#REF!</v>
      </c>
      <c r="C109" s="42"/>
      <c r="D109" s="42"/>
      <c r="E109" s="39" t="e">
        <f>IF(A109&gt;"","// "&amp;#REF!,"")</f>
        <v>#REF!</v>
      </c>
      <c r="F109" s="41"/>
      <c r="G109" s="41"/>
      <c r="H109" s="41"/>
      <c r="I109" s="41"/>
      <c r="J109" s="41"/>
      <c r="K109" s="41"/>
      <c r="L109" s="41"/>
      <c r="M109" s="41"/>
      <c r="N109" s="41"/>
      <c r="O109" s="41"/>
      <c r="P109" s="41"/>
      <c r="Q109" s="41"/>
    </row>
    <row r="110" spans="1:17" x14ac:dyDescent="0.35">
      <c r="A110" s="38" t="e">
        <f>IF(#REF!&gt;"",IF(#REF!="lesen","LE"&amp;$B$3,$B$3&amp;"LE")&amp;"_"&amp;#REF!,"")</f>
        <v>#REF!</v>
      </c>
      <c r="B110" s="39" t="e">
        <f>IF(A110&gt;"","int "&amp;A110&amp;REPT(" ",30-LEN(#REF!))&amp;" = "&amp;#REF!&amp;" ;"&amp;REPT(" ",20-LEN(#REF!))&amp;"//"&amp;UPPER(#REF!),"")</f>
        <v>#REF!</v>
      </c>
      <c r="C110" s="42"/>
      <c r="D110" s="42"/>
      <c r="E110" s="39" t="e">
        <f>IF(A110&gt;"","// "&amp;#REF!,"")</f>
        <v>#REF!</v>
      </c>
      <c r="F110" s="41"/>
      <c r="G110" s="41"/>
      <c r="H110" s="41"/>
      <c r="I110" s="41"/>
      <c r="J110" s="41"/>
      <c r="K110" s="41"/>
      <c r="L110" s="41"/>
      <c r="M110" s="41"/>
      <c r="N110" s="41"/>
      <c r="O110" s="41"/>
      <c r="P110" s="41"/>
      <c r="Q110" s="41"/>
    </row>
    <row r="111" spans="1:17" x14ac:dyDescent="0.35">
      <c r="A111" s="38" t="str">
        <f t="shared" si="0"/>
        <v/>
      </c>
      <c r="B111" s="39" t="str">
        <f t="shared" si="1"/>
        <v/>
      </c>
      <c r="C111" s="43"/>
      <c r="D111" s="43"/>
      <c r="E111" s="39" t="str">
        <f t="shared" si="2"/>
        <v/>
      </c>
      <c r="F111" s="41"/>
      <c r="G111" s="41"/>
      <c r="H111" s="41"/>
      <c r="I111" s="41"/>
      <c r="J111" s="41"/>
      <c r="K111" s="41"/>
      <c r="L111" s="41"/>
      <c r="M111" s="41"/>
      <c r="N111" s="41"/>
      <c r="O111" s="41"/>
      <c r="P111" s="41"/>
      <c r="Q111" s="41"/>
    </row>
    <row r="114" spans="1:17" x14ac:dyDescent="0.35">
      <c r="A114" s="36" t="s">
        <v>21</v>
      </c>
    </row>
    <row r="115" spans="1:17" x14ac:dyDescent="0.35">
      <c r="A115" t="s">
        <v>23</v>
      </c>
    </row>
    <row r="116" spans="1:17" x14ac:dyDescent="0.35">
      <c r="A116" s="41"/>
      <c r="B116" s="41" t="s">
        <v>20</v>
      </c>
      <c r="C116" s="41"/>
      <c r="D116" s="41"/>
      <c r="E116" s="41"/>
      <c r="F116" s="41"/>
      <c r="G116" s="41"/>
      <c r="H116" s="41"/>
      <c r="I116" s="41"/>
      <c r="J116" s="41"/>
      <c r="K116" s="41"/>
      <c r="L116" s="41"/>
      <c r="M116" s="41"/>
      <c r="N116" s="41"/>
      <c r="O116" s="41"/>
      <c r="P116" s="41"/>
      <c r="Q116" s="41"/>
    </row>
    <row r="117" spans="1:17" x14ac:dyDescent="0.35">
      <c r="A117" s="41"/>
      <c r="B117" s="41" t="str">
        <f>"ValueReceiver&lt;"&amp;COUNTIF(C43:C74,"lesen")&amp;"&gt; DatenEmpfangen;"</f>
        <v>ValueReceiver&lt;13&gt; DatenEmpfangen;</v>
      </c>
      <c r="C117" s="41"/>
      <c r="D117" s="41"/>
      <c r="E117" s="41"/>
      <c r="F117" s="41"/>
      <c r="G117" s="41"/>
      <c r="H117" s="41"/>
      <c r="I117" s="41"/>
      <c r="J117" s="41"/>
      <c r="K117" s="41"/>
      <c r="L117" s="41"/>
      <c r="M117" s="41"/>
      <c r="N117" s="41"/>
      <c r="O117" s="41"/>
      <c r="P117" s="41"/>
      <c r="Q117" s="41"/>
    </row>
    <row r="118" spans="1:17" x14ac:dyDescent="0.35">
      <c r="A118" s="41"/>
      <c r="B118" s="41" t="str">
        <f>"ValueSender"&amp;"  &lt;"&amp;COUNTIF(C43:C74,"schreiben")&amp;"&gt; DatenSenden;"</f>
        <v>ValueSender  &lt;8&gt; DatenSenden;</v>
      </c>
      <c r="C118" s="41"/>
      <c r="D118" s="41"/>
      <c r="E118" s="41"/>
      <c r="F118" s="41"/>
      <c r="G118" s="41"/>
      <c r="H118" s="41"/>
      <c r="I118" s="41"/>
      <c r="J118" s="41"/>
      <c r="K118" s="41"/>
      <c r="L118" s="41"/>
      <c r="M118" s="41"/>
      <c r="N118" s="41"/>
      <c r="O118" s="41"/>
      <c r="P118" s="41"/>
      <c r="Q118" s="41"/>
    </row>
    <row r="119" spans="1:17" x14ac:dyDescent="0.35">
      <c r="A119" s="41"/>
      <c r="B119" s="41"/>
      <c r="C119" s="41"/>
      <c r="D119" s="41"/>
      <c r="E119" s="41"/>
      <c r="F119" s="41"/>
      <c r="G119" s="41"/>
      <c r="H119" s="41"/>
      <c r="I119" s="41"/>
      <c r="J119" s="41"/>
      <c r="K119" s="41"/>
      <c r="L119" s="41"/>
      <c r="M119" s="41"/>
      <c r="N119" s="41"/>
      <c r="O119" s="41"/>
      <c r="P119" s="41"/>
      <c r="Q119" s="41"/>
    </row>
    <row r="120" spans="1:17" x14ac:dyDescent="0.35">
      <c r="A120" s="41"/>
      <c r="B120" s="41"/>
      <c r="C120" s="41"/>
      <c r="D120" s="41"/>
      <c r="E120" s="41"/>
      <c r="F120" s="41"/>
      <c r="G120" s="41"/>
      <c r="H120" s="41"/>
      <c r="I120" s="41"/>
      <c r="J120" s="41"/>
      <c r="K120" s="41"/>
      <c r="L120" s="41"/>
      <c r="M120" s="41"/>
      <c r="N120" s="41"/>
      <c r="O120" s="41"/>
      <c r="P120" s="41"/>
      <c r="Q120" s="41"/>
    </row>
    <row r="123" spans="1:17" x14ac:dyDescent="0.35">
      <c r="A123" s="36" t="s">
        <v>24</v>
      </c>
    </row>
    <row r="124" spans="1:17" x14ac:dyDescent="0.35">
      <c r="A124" s="41"/>
      <c r="B124" s="41" t="str">
        <f>IF(C43="schreiben","DatenSenden.observe("&amp;A80&amp;");","")</f>
        <v/>
      </c>
      <c r="C124" s="41"/>
      <c r="D124" s="41"/>
      <c r="E124" s="41"/>
      <c r="F124" s="41"/>
      <c r="G124" s="41"/>
      <c r="H124" s="41"/>
      <c r="I124" s="41"/>
      <c r="J124" s="41"/>
      <c r="K124" s="41"/>
      <c r="L124" s="41"/>
      <c r="M124" s="41"/>
      <c r="N124" s="41"/>
      <c r="O124" s="41"/>
      <c r="P124" s="41"/>
      <c r="Q124" s="41"/>
    </row>
    <row r="125" spans="1:17" x14ac:dyDescent="0.35">
      <c r="A125" s="41"/>
      <c r="B125" s="41" t="str">
        <f>IF(C70="schreiben","DatenSenden.observe("&amp;A81&amp;");","")</f>
        <v/>
      </c>
      <c r="C125" s="41"/>
      <c r="D125" s="41"/>
      <c r="E125" s="41"/>
      <c r="F125" s="41"/>
      <c r="G125" s="41"/>
      <c r="H125" s="41"/>
      <c r="I125" s="41"/>
      <c r="J125" s="41"/>
      <c r="K125" s="41"/>
      <c r="L125" s="41"/>
      <c r="M125" s="41"/>
      <c r="N125" s="41"/>
      <c r="O125" s="41"/>
      <c r="P125" s="41"/>
      <c r="Q125" s="41"/>
    </row>
    <row r="126" spans="1:17" x14ac:dyDescent="0.35">
      <c r="A126" s="41"/>
      <c r="B126" s="41" t="str">
        <f>IF(C71="schreiben","DatenSenden.observe("&amp;A82&amp;");","")</f>
        <v/>
      </c>
      <c r="C126" s="41"/>
      <c r="D126" s="41"/>
      <c r="E126" s="41"/>
      <c r="F126" s="41"/>
      <c r="G126" s="41"/>
      <c r="H126" s="41"/>
      <c r="I126" s="41"/>
      <c r="J126" s="41"/>
      <c r="K126" s="41"/>
      <c r="L126" s="41"/>
      <c r="M126" s="41"/>
      <c r="N126" s="41"/>
      <c r="O126" s="41"/>
      <c r="P126" s="41"/>
      <c r="Q126" s="41"/>
    </row>
    <row r="127" spans="1:17" x14ac:dyDescent="0.35">
      <c r="A127" s="41"/>
      <c r="B127" s="41" t="str">
        <f>IF(C72="schreiben","DatenSenden.observe("&amp;A83&amp;");","")</f>
        <v/>
      </c>
      <c r="C127" s="41"/>
      <c r="D127" s="41"/>
      <c r="E127" s="41"/>
      <c r="F127" s="41"/>
      <c r="G127" s="41"/>
      <c r="H127" s="41"/>
      <c r="I127" s="41"/>
      <c r="J127" s="41"/>
      <c r="K127" s="41"/>
      <c r="L127" s="41"/>
      <c r="M127" s="41"/>
      <c r="N127" s="41"/>
      <c r="O127" s="41"/>
      <c r="P127" s="41"/>
      <c r="Q127" s="41"/>
    </row>
    <row r="128" spans="1:17" x14ac:dyDescent="0.35">
      <c r="A128" s="41"/>
      <c r="B128" s="41" t="str">
        <f>IF(C73="schreiben","DatenSenden.observe("&amp;A84&amp;");","")</f>
        <v/>
      </c>
      <c r="C128" s="41"/>
      <c r="D128" s="41"/>
      <c r="E128" s="41"/>
      <c r="F128" s="41"/>
      <c r="G128" s="41"/>
      <c r="H128" s="41"/>
      <c r="I128" s="41"/>
      <c r="J128" s="41"/>
      <c r="K128" s="41"/>
      <c r="L128" s="41"/>
      <c r="M128" s="41"/>
      <c r="N128" s="41"/>
      <c r="O128" s="41"/>
      <c r="P128" s="41"/>
      <c r="Q128" s="41"/>
    </row>
    <row r="129" spans="1:17" x14ac:dyDescent="0.35">
      <c r="A129" s="41"/>
      <c r="B129" s="41" t="str">
        <f>IF(C68="schreiben","DatenSenden.observe("&amp;A85&amp;");","")</f>
        <v/>
      </c>
      <c r="C129" s="41"/>
      <c r="D129" s="41"/>
      <c r="E129" s="41"/>
      <c r="F129" s="41"/>
      <c r="G129" s="41"/>
      <c r="H129" s="41"/>
      <c r="I129" s="41"/>
      <c r="J129" s="41"/>
      <c r="K129" s="41"/>
      <c r="L129" s="41"/>
      <c r="M129" s="41"/>
      <c r="N129" s="41"/>
      <c r="O129" s="41"/>
      <c r="P129" s="41"/>
      <c r="Q129" s="41"/>
    </row>
    <row r="130" spans="1:17" x14ac:dyDescent="0.35">
      <c r="A130" s="41"/>
      <c r="B130" s="41" t="str">
        <f>IF(C69="schreiben","DatenSenden.observe("&amp;A86&amp;");","")</f>
        <v/>
      </c>
      <c r="C130" s="41"/>
      <c r="D130" s="41"/>
      <c r="E130" s="41"/>
      <c r="F130" s="41"/>
      <c r="G130" s="41"/>
      <c r="H130" s="41"/>
      <c r="I130" s="41"/>
      <c r="J130" s="41"/>
      <c r="K130" s="41"/>
      <c r="L130" s="41"/>
      <c r="M130" s="41"/>
      <c r="N130" s="41"/>
      <c r="O130" s="41"/>
      <c r="P130" s="41"/>
      <c r="Q130" s="41"/>
    </row>
    <row r="131" spans="1:17" x14ac:dyDescent="0.35">
      <c r="A131" s="41"/>
      <c r="B131" s="41" t="str">
        <f>IF(C44="schreiben","DatenSenden.observe("&amp;A87&amp;");","")</f>
        <v/>
      </c>
      <c r="C131" s="41"/>
      <c r="D131" s="41"/>
      <c r="E131" s="41"/>
      <c r="F131" s="41"/>
      <c r="G131" s="41"/>
      <c r="H131" s="41"/>
      <c r="I131" s="41"/>
      <c r="J131" s="41"/>
      <c r="K131" s="41"/>
      <c r="L131" s="41"/>
      <c r="M131" s="41"/>
      <c r="N131" s="41"/>
      <c r="O131" s="41"/>
      <c r="P131" s="41"/>
      <c r="Q131" s="41"/>
    </row>
    <row r="132" spans="1:17" x14ac:dyDescent="0.35">
      <c r="A132" s="41"/>
      <c r="B132" s="41" t="str">
        <f>IF(C45="schreiben","DatenSenden.observe("&amp;A88&amp;");","")</f>
        <v/>
      </c>
      <c r="C132" s="41"/>
      <c r="D132" s="41"/>
      <c r="E132" s="41"/>
      <c r="F132" s="41"/>
      <c r="G132" s="41"/>
      <c r="H132" s="41"/>
      <c r="I132" s="41"/>
      <c r="J132" s="41"/>
      <c r="K132" s="41"/>
      <c r="L132" s="41"/>
      <c r="M132" s="41"/>
      <c r="N132" s="41"/>
      <c r="O132" s="41"/>
      <c r="P132" s="41"/>
      <c r="Q132" s="41"/>
    </row>
    <row r="133" spans="1:17" x14ac:dyDescent="0.35">
      <c r="A133" s="41"/>
      <c r="B133" s="41" t="str">
        <f>IF(C46="schreiben","DatenSenden.observe("&amp;A89&amp;");","")</f>
        <v/>
      </c>
      <c r="C133" s="41"/>
      <c r="D133" s="41"/>
      <c r="E133" s="41"/>
      <c r="F133" s="41"/>
      <c r="G133" s="41"/>
      <c r="H133" s="41"/>
      <c r="I133" s="41"/>
      <c r="J133" s="41"/>
      <c r="K133" s="41"/>
      <c r="L133" s="41"/>
      <c r="M133" s="41"/>
      <c r="N133" s="41"/>
      <c r="O133" s="41"/>
      <c r="P133" s="41"/>
      <c r="Q133" s="41"/>
    </row>
    <row r="134" spans="1:17" x14ac:dyDescent="0.35">
      <c r="A134" s="41"/>
      <c r="B134" s="41" t="str">
        <f>IF(C47="schreiben","DatenSenden.observe("&amp;A90&amp;");","")</f>
        <v/>
      </c>
      <c r="C134" s="41"/>
      <c r="D134" s="41"/>
      <c r="E134" s="41"/>
      <c r="F134" s="41"/>
      <c r="G134" s="41"/>
      <c r="H134" s="41"/>
      <c r="I134" s="41"/>
      <c r="J134" s="41"/>
      <c r="K134" s="41"/>
      <c r="L134" s="41"/>
      <c r="M134" s="41"/>
      <c r="N134" s="41"/>
      <c r="O134" s="41"/>
      <c r="P134" s="41"/>
      <c r="Q134" s="41"/>
    </row>
    <row r="135" spans="1:17" x14ac:dyDescent="0.35">
      <c r="A135" s="41"/>
      <c r="B135" s="41" t="str">
        <f t="shared" ref="B125:B155" si="3">IF(C54="schreiben","DatenSenden.observe("&amp;A91&amp;");","")</f>
        <v/>
      </c>
      <c r="C135" s="41"/>
      <c r="D135" s="41"/>
      <c r="E135" s="41"/>
      <c r="F135" s="41"/>
      <c r="G135" s="41"/>
      <c r="H135" s="41"/>
      <c r="I135" s="41"/>
      <c r="J135" s="41"/>
      <c r="K135" s="41"/>
      <c r="L135" s="41"/>
      <c r="M135" s="41"/>
      <c r="N135" s="41"/>
      <c r="O135" s="41"/>
      <c r="P135" s="41"/>
      <c r="Q135" s="41"/>
    </row>
    <row r="136" spans="1:17" x14ac:dyDescent="0.35">
      <c r="A136" s="41"/>
      <c r="B136" s="41" t="str">
        <f t="shared" si="3"/>
        <v/>
      </c>
      <c r="C136" s="41"/>
      <c r="D136" s="41"/>
      <c r="E136" s="41"/>
      <c r="F136" s="41"/>
      <c r="G136" s="41"/>
      <c r="H136" s="41"/>
      <c r="I136" s="41"/>
      <c r="J136" s="41"/>
      <c r="K136" s="41"/>
      <c r="L136" s="41"/>
      <c r="M136" s="41"/>
      <c r="N136" s="41"/>
      <c r="O136" s="41"/>
      <c r="P136" s="41"/>
      <c r="Q136" s="41"/>
    </row>
    <row r="137" spans="1:17" x14ac:dyDescent="0.35">
      <c r="A137" s="41"/>
      <c r="B137" s="41" t="str">
        <f t="shared" si="3"/>
        <v>DatenSenden.observe(MC01LE_Taster_mitte);</v>
      </c>
      <c r="C137" s="41"/>
      <c r="D137" s="41"/>
      <c r="E137" s="41"/>
      <c r="F137" s="41"/>
      <c r="G137" s="41"/>
      <c r="H137" s="41"/>
      <c r="I137" s="41"/>
      <c r="J137" s="41"/>
      <c r="K137" s="41"/>
      <c r="L137" s="41"/>
      <c r="M137" s="41"/>
      <c r="N137" s="41"/>
      <c r="O137" s="41"/>
      <c r="P137" s="41"/>
      <c r="Q137" s="41"/>
    </row>
    <row r="138" spans="1:17" x14ac:dyDescent="0.35">
      <c r="A138" s="41"/>
      <c r="B138" s="41" t="str">
        <f>IF(C64="schreiben","DatenSenden.observe("&amp;A94&amp;");","")</f>
        <v/>
      </c>
      <c r="C138" s="41"/>
      <c r="D138" s="41"/>
      <c r="E138" s="41"/>
      <c r="F138" s="41"/>
      <c r="G138" s="41"/>
      <c r="H138" s="41"/>
      <c r="I138" s="41"/>
      <c r="J138" s="41"/>
      <c r="K138" s="41"/>
      <c r="L138" s="41"/>
      <c r="M138" s="41"/>
      <c r="N138" s="41"/>
      <c r="O138" s="41"/>
      <c r="P138" s="41"/>
      <c r="Q138" s="41"/>
    </row>
    <row r="139" spans="1:17" x14ac:dyDescent="0.35">
      <c r="A139" s="41"/>
      <c r="B139" s="41" t="str">
        <f>IF(C65="schreiben","DatenSenden.observe("&amp;A95&amp;");","")</f>
        <v/>
      </c>
      <c r="C139" s="41"/>
      <c r="D139" s="41"/>
      <c r="E139" s="41"/>
      <c r="F139" s="41"/>
      <c r="G139" s="41"/>
      <c r="H139" s="41"/>
      <c r="I139" s="41"/>
      <c r="J139" s="41"/>
      <c r="K139" s="41"/>
      <c r="L139" s="41"/>
      <c r="M139" s="41"/>
      <c r="N139" s="41"/>
      <c r="O139" s="41"/>
      <c r="P139" s="41"/>
      <c r="Q139" s="41"/>
    </row>
    <row r="140" spans="1:17" x14ac:dyDescent="0.35">
      <c r="A140" s="41"/>
      <c r="B140" s="41" t="str">
        <f t="shared" si="3"/>
        <v>DatenSenden.observe(MC01LE_Praesenz);</v>
      </c>
      <c r="C140" s="41"/>
      <c r="D140" s="41"/>
      <c r="E140" s="41"/>
      <c r="F140" s="41"/>
      <c r="G140" s="41"/>
      <c r="H140" s="41"/>
      <c r="I140" s="41"/>
      <c r="J140" s="41"/>
      <c r="K140" s="41"/>
      <c r="L140" s="41"/>
      <c r="M140" s="41"/>
      <c r="N140" s="41"/>
      <c r="O140" s="41"/>
      <c r="P140" s="41"/>
      <c r="Q140" s="41"/>
    </row>
    <row r="141" spans="1:17" x14ac:dyDescent="0.35">
      <c r="A141" s="41"/>
      <c r="B141" s="41" t="str">
        <f>IF(C57="schreiben","DatenSenden.observe("&amp;A97&amp;");","")</f>
        <v>DatenSenden.observe(MC01LE_Taster_links);</v>
      </c>
      <c r="C141" s="41"/>
      <c r="D141" s="41"/>
      <c r="E141" s="41"/>
      <c r="F141" s="41"/>
      <c r="G141" s="41"/>
      <c r="H141" s="41"/>
      <c r="I141" s="41"/>
      <c r="J141" s="41"/>
      <c r="K141" s="41"/>
      <c r="L141" s="41"/>
      <c r="M141" s="41"/>
      <c r="N141" s="41"/>
      <c r="O141" s="41"/>
      <c r="P141" s="41"/>
      <c r="Q141" s="41"/>
    </row>
    <row r="142" spans="1:17" x14ac:dyDescent="0.35">
      <c r="A142" s="41"/>
      <c r="B142" s="41" t="str">
        <f>IF(C58="schreiben","DatenSenden.observe("&amp;A98&amp;");","")</f>
        <v>DatenSenden.observe(MC01LE_Taster_rechts);</v>
      </c>
      <c r="C142" s="41"/>
      <c r="D142" s="41"/>
      <c r="E142" s="41"/>
      <c r="F142" s="41"/>
      <c r="G142" s="41"/>
      <c r="H142" s="41"/>
      <c r="I142" s="41"/>
      <c r="J142" s="41"/>
      <c r="K142" s="41"/>
      <c r="L142" s="41"/>
      <c r="M142" s="41"/>
      <c r="N142" s="41"/>
      <c r="O142" s="41"/>
      <c r="P142" s="41"/>
      <c r="Q142" s="41"/>
    </row>
    <row r="143" spans="1:17" x14ac:dyDescent="0.35">
      <c r="A143" s="41"/>
      <c r="B143" s="41" t="str">
        <f t="shared" si="3"/>
        <v>DatenSenden.observe(MC01LE_Reserve7);</v>
      </c>
      <c r="C143" s="41"/>
      <c r="D143" s="41"/>
      <c r="E143" s="41"/>
      <c r="F143" s="41"/>
      <c r="G143" s="41"/>
      <c r="H143" s="41"/>
      <c r="I143" s="41"/>
      <c r="J143" s="41"/>
      <c r="K143" s="41"/>
      <c r="L143" s="41"/>
      <c r="M143" s="41"/>
      <c r="N143" s="41"/>
      <c r="O143" s="41"/>
      <c r="P143" s="41"/>
      <c r="Q143" s="41"/>
    </row>
    <row r="144" spans="1:17" x14ac:dyDescent="0.35">
      <c r="A144" s="41"/>
      <c r="B144" s="41" t="str">
        <f t="shared" si="3"/>
        <v>DatenSenden.observe(MC01LE_Reserve8);</v>
      </c>
      <c r="C144" s="41"/>
      <c r="D144" s="41"/>
      <c r="E144" s="41"/>
      <c r="F144" s="41"/>
      <c r="G144" s="41"/>
      <c r="H144" s="41"/>
      <c r="I144" s="41"/>
      <c r="J144" s="41"/>
      <c r="K144" s="41"/>
      <c r="L144" s="41"/>
      <c r="M144" s="41"/>
      <c r="N144" s="41"/>
      <c r="O144" s="41"/>
      <c r="P144" s="41"/>
      <c r="Q144" s="41"/>
    </row>
    <row r="145" spans="1:17" x14ac:dyDescent="0.35">
      <c r="A145" s="41"/>
      <c r="B145" s="41" t="e">
        <f>IF(#REF!="schreiben","DatenSenden.observe("&amp;A101&amp;");","")</f>
        <v>#REF!</v>
      </c>
      <c r="C145" s="41"/>
      <c r="D145" s="41"/>
      <c r="E145" s="41"/>
      <c r="F145" s="41"/>
      <c r="G145" s="41"/>
      <c r="H145" s="41"/>
      <c r="I145" s="41"/>
      <c r="J145" s="41"/>
      <c r="K145" s="41"/>
      <c r="L145" s="41"/>
      <c r="M145" s="41"/>
      <c r="N145" s="41"/>
      <c r="O145" s="41"/>
      <c r="P145" s="41"/>
      <c r="Q145" s="41"/>
    </row>
    <row r="146" spans="1:17" x14ac:dyDescent="0.35">
      <c r="A146" s="41"/>
      <c r="B146" s="41" t="e">
        <f>IF(#REF!="schreiben","DatenSenden.observe("&amp;A102&amp;");","")</f>
        <v>#REF!</v>
      </c>
      <c r="C146" s="41"/>
      <c r="D146" s="41"/>
      <c r="E146" s="41"/>
      <c r="F146" s="41"/>
      <c r="G146" s="41"/>
      <c r="H146" s="41"/>
      <c r="I146" s="41"/>
      <c r="J146" s="41"/>
      <c r="K146" s="41"/>
      <c r="L146" s="41"/>
      <c r="M146" s="41"/>
      <c r="N146" s="41"/>
      <c r="O146" s="41"/>
      <c r="P146" s="41"/>
      <c r="Q146" s="41"/>
    </row>
    <row r="147" spans="1:17" x14ac:dyDescent="0.35">
      <c r="A147" s="41"/>
      <c r="B147" s="41" t="str">
        <f t="shared" si="3"/>
        <v/>
      </c>
      <c r="C147" s="41"/>
      <c r="D147" s="41"/>
      <c r="E147" s="41"/>
      <c r="F147" s="41"/>
      <c r="G147" s="41"/>
      <c r="H147" s="41"/>
      <c r="I147" s="41"/>
      <c r="J147" s="41"/>
      <c r="K147" s="41"/>
      <c r="L147" s="41"/>
      <c r="M147" s="41"/>
      <c r="N147" s="41"/>
      <c r="O147" s="41"/>
      <c r="P147" s="41"/>
      <c r="Q147" s="41"/>
    </row>
    <row r="148" spans="1:17" x14ac:dyDescent="0.35">
      <c r="A148" s="41"/>
      <c r="B148" s="41" t="str">
        <f t="shared" si="3"/>
        <v/>
      </c>
      <c r="C148" s="41"/>
      <c r="D148" s="41"/>
      <c r="E148" s="41"/>
      <c r="F148" s="41"/>
      <c r="G148" s="41"/>
      <c r="H148" s="41"/>
      <c r="I148" s="41"/>
      <c r="J148" s="41"/>
      <c r="K148" s="41"/>
      <c r="L148" s="41"/>
      <c r="M148" s="41"/>
      <c r="N148" s="41"/>
      <c r="O148" s="41"/>
      <c r="P148" s="41"/>
      <c r="Q148" s="41"/>
    </row>
    <row r="149" spans="1:17" x14ac:dyDescent="0.35">
      <c r="A149" s="41"/>
      <c r="B149" s="41" t="e">
        <f>IF(#REF!="schreiben","DatenSenden.observe("&amp;A105&amp;");","")</f>
        <v>#REF!</v>
      </c>
      <c r="C149" s="41"/>
      <c r="D149" s="41"/>
      <c r="E149" s="41"/>
      <c r="F149" s="41"/>
      <c r="G149" s="41"/>
      <c r="H149" s="41"/>
      <c r="I149" s="41"/>
      <c r="J149" s="41"/>
      <c r="K149" s="41"/>
      <c r="L149" s="41"/>
      <c r="M149" s="41"/>
      <c r="N149" s="41"/>
      <c r="O149" s="41"/>
      <c r="P149" s="41"/>
      <c r="Q149" s="41"/>
    </row>
    <row r="150" spans="1:17" x14ac:dyDescent="0.35">
      <c r="A150" s="41"/>
      <c r="B150" s="41" t="e">
        <f>IF(#REF!="schreiben","DatenSenden.observe("&amp;A106&amp;");","")</f>
        <v>#REF!</v>
      </c>
      <c r="C150" s="41"/>
      <c r="D150" s="41"/>
      <c r="E150" s="41"/>
      <c r="F150" s="41"/>
      <c r="G150" s="41"/>
      <c r="H150" s="41"/>
      <c r="I150" s="41"/>
      <c r="J150" s="41"/>
      <c r="K150" s="41"/>
      <c r="L150" s="41"/>
      <c r="M150" s="41"/>
      <c r="N150" s="41"/>
      <c r="O150" s="41"/>
      <c r="P150" s="41"/>
      <c r="Q150" s="41"/>
    </row>
    <row r="151" spans="1:17" x14ac:dyDescent="0.35">
      <c r="A151" s="41"/>
      <c r="B151" s="41" t="e">
        <f>IF(#REF!="schreiben","DatenSenden.observe("&amp;A107&amp;");","")</f>
        <v>#REF!</v>
      </c>
      <c r="C151" s="41"/>
      <c r="D151" s="41"/>
      <c r="E151" s="41"/>
      <c r="F151" s="41"/>
      <c r="G151" s="41"/>
      <c r="H151" s="41"/>
      <c r="I151" s="41"/>
      <c r="J151" s="41"/>
      <c r="K151" s="41"/>
      <c r="L151" s="41"/>
      <c r="M151" s="41"/>
      <c r="N151" s="41"/>
      <c r="O151" s="41"/>
      <c r="P151" s="41"/>
      <c r="Q151" s="41"/>
    </row>
    <row r="152" spans="1:17" x14ac:dyDescent="0.35">
      <c r="A152" s="41"/>
      <c r="B152" s="41" t="e">
        <f>IF(#REF!="schreiben","DatenSenden.observe("&amp;A108&amp;");","")</f>
        <v>#REF!</v>
      </c>
      <c r="C152" s="41"/>
      <c r="D152" s="41"/>
      <c r="E152" s="41"/>
      <c r="F152" s="41"/>
      <c r="G152" s="41"/>
      <c r="H152" s="41"/>
      <c r="I152" s="41"/>
      <c r="J152" s="41"/>
      <c r="K152" s="41"/>
      <c r="L152" s="41"/>
      <c r="M152" s="41"/>
      <c r="N152" s="41"/>
      <c r="O152" s="41"/>
      <c r="P152" s="41"/>
      <c r="Q152" s="41"/>
    </row>
    <row r="153" spans="1:17" x14ac:dyDescent="0.35">
      <c r="A153" s="41"/>
      <c r="B153" s="41" t="e">
        <f>IF(#REF!="schreiben","DatenSenden.observe("&amp;A109&amp;");","")</f>
        <v>#REF!</v>
      </c>
      <c r="C153" s="41"/>
      <c r="D153" s="41"/>
      <c r="E153" s="41"/>
      <c r="F153" s="41"/>
      <c r="G153" s="41"/>
      <c r="H153" s="41"/>
      <c r="I153" s="41"/>
      <c r="J153" s="41"/>
      <c r="K153" s="41"/>
      <c r="L153" s="41"/>
      <c r="M153" s="41"/>
      <c r="N153" s="41"/>
      <c r="O153" s="41"/>
      <c r="P153" s="41"/>
      <c r="Q153" s="41"/>
    </row>
    <row r="154" spans="1:17" x14ac:dyDescent="0.35">
      <c r="A154" s="41"/>
      <c r="B154" s="41" t="e">
        <f>IF(#REF!="schreiben","DatenSenden.observe("&amp;A110&amp;");","")</f>
        <v>#REF!</v>
      </c>
      <c r="C154" s="41"/>
      <c r="D154" s="41"/>
      <c r="E154" s="41"/>
      <c r="F154" s="41"/>
      <c r="G154" s="41"/>
      <c r="H154" s="41"/>
      <c r="I154" s="41"/>
      <c r="J154" s="41"/>
      <c r="K154" s="41"/>
      <c r="L154" s="41"/>
      <c r="M154" s="41"/>
      <c r="N154" s="41"/>
      <c r="O154" s="41"/>
      <c r="P154" s="41"/>
      <c r="Q154" s="41"/>
    </row>
    <row r="155" spans="1:17" x14ac:dyDescent="0.35">
      <c r="A155" s="41"/>
      <c r="B155" s="41" t="str">
        <f t="shared" si="3"/>
        <v/>
      </c>
      <c r="C155" s="41"/>
      <c r="D155" s="41"/>
      <c r="E155" s="41"/>
      <c r="F155" s="41"/>
      <c r="G155" s="41"/>
      <c r="H155" s="41"/>
      <c r="I155" s="41"/>
      <c r="J155" s="41"/>
      <c r="K155" s="41"/>
      <c r="L155" s="41"/>
      <c r="M155" s="41"/>
      <c r="N155" s="41"/>
      <c r="O155" s="41"/>
      <c r="P155" s="41"/>
      <c r="Q155" s="41"/>
    </row>
    <row r="158" spans="1:17" x14ac:dyDescent="0.35">
      <c r="A158" s="36" t="s">
        <v>26</v>
      </c>
      <c r="B158" s="35"/>
      <c r="C158" s="35"/>
      <c r="D158" s="35"/>
      <c r="E158" s="35"/>
      <c r="F158" s="35"/>
      <c r="G158" s="35"/>
      <c r="H158" s="35"/>
      <c r="I158" s="35"/>
      <c r="J158" s="35"/>
      <c r="K158" s="35"/>
      <c r="L158" s="35"/>
      <c r="M158" s="35"/>
      <c r="N158" s="35"/>
      <c r="O158" s="35"/>
      <c r="P158" s="35"/>
      <c r="Q158" s="35"/>
    </row>
    <row r="159" spans="1:17" x14ac:dyDescent="0.35">
      <c r="A159" s="41"/>
      <c r="B159" s="41" t="str">
        <f>IF(C43="lesen","DatenEmpfangen.observe("&amp;A80&amp;");","")</f>
        <v>DatenEmpfangen.observe(LEMC01_Taster_mitte_LED);</v>
      </c>
      <c r="C159" s="41"/>
      <c r="D159" s="41"/>
      <c r="E159" s="41"/>
      <c r="F159" s="41"/>
      <c r="G159" s="41"/>
      <c r="H159" s="41"/>
      <c r="I159" s="41"/>
      <c r="J159" s="41"/>
      <c r="K159" s="41"/>
      <c r="L159" s="41"/>
      <c r="M159" s="41"/>
      <c r="N159" s="41"/>
      <c r="O159" s="41"/>
      <c r="P159" s="41"/>
      <c r="Q159" s="41"/>
    </row>
    <row r="160" spans="1:17" x14ac:dyDescent="0.35">
      <c r="A160" s="41"/>
      <c r="B160" s="41" t="str">
        <f>IF(C70="lesen","DatenEmpfangen.observe("&amp;A81&amp;");","")</f>
        <v/>
      </c>
      <c r="C160" s="41"/>
      <c r="D160" s="41"/>
      <c r="E160" s="41"/>
      <c r="F160" s="41"/>
      <c r="G160" s="41"/>
      <c r="H160" s="41"/>
      <c r="I160" s="41"/>
      <c r="J160" s="41"/>
      <c r="K160" s="41"/>
      <c r="L160" s="41"/>
      <c r="M160" s="41"/>
      <c r="N160" s="41"/>
      <c r="O160" s="41"/>
      <c r="P160" s="41"/>
      <c r="Q160" s="41"/>
    </row>
    <row r="161" spans="1:17" x14ac:dyDescent="0.35">
      <c r="A161" s="41"/>
      <c r="B161" s="41" t="str">
        <f>IF(C71="lesen","DatenEmpfangen.observe("&amp;A82&amp;");","")</f>
        <v/>
      </c>
      <c r="C161" s="41"/>
      <c r="D161" s="41"/>
      <c r="E161" s="41"/>
      <c r="F161" s="41"/>
      <c r="G161" s="41"/>
      <c r="H161" s="41"/>
      <c r="I161" s="41"/>
      <c r="J161" s="41"/>
      <c r="K161" s="41"/>
      <c r="L161" s="41"/>
      <c r="M161" s="41"/>
      <c r="N161" s="41"/>
      <c r="O161" s="41"/>
      <c r="P161" s="41"/>
      <c r="Q161" s="41"/>
    </row>
    <row r="162" spans="1:17" x14ac:dyDescent="0.35">
      <c r="A162" s="41"/>
      <c r="B162" s="41" t="str">
        <f>IF(C72="lesen","DatenEmpfangen.observe("&amp;A83&amp;");","")</f>
        <v/>
      </c>
      <c r="C162" s="41"/>
      <c r="D162" s="41"/>
      <c r="E162" s="41"/>
      <c r="F162" s="41"/>
      <c r="G162" s="41"/>
      <c r="H162" s="41"/>
      <c r="I162" s="41"/>
      <c r="J162" s="41"/>
      <c r="K162" s="41"/>
      <c r="L162" s="41"/>
      <c r="M162" s="41"/>
      <c r="N162" s="41"/>
      <c r="O162" s="41"/>
      <c r="P162" s="41"/>
      <c r="Q162" s="41"/>
    </row>
    <row r="163" spans="1:17" x14ac:dyDescent="0.35">
      <c r="A163" s="41"/>
      <c r="B163" s="41" t="str">
        <f>IF(C73="lesen","DatenEmpfangen.observe("&amp;A84&amp;");","")</f>
        <v/>
      </c>
      <c r="C163" s="41"/>
      <c r="D163" s="41"/>
      <c r="E163" s="41"/>
      <c r="F163" s="41"/>
      <c r="G163" s="41"/>
      <c r="H163" s="41"/>
      <c r="I163" s="41"/>
      <c r="J163" s="41"/>
      <c r="K163" s="41"/>
      <c r="L163" s="41"/>
      <c r="M163" s="41"/>
      <c r="N163" s="41"/>
      <c r="O163" s="41"/>
      <c r="P163" s="41"/>
      <c r="Q163" s="41"/>
    </row>
    <row r="164" spans="1:17" x14ac:dyDescent="0.35">
      <c r="A164" s="41"/>
      <c r="B164" s="41" t="str">
        <f>IF(C68="lesen","DatenEmpfangen.observe("&amp;A85&amp;");","")</f>
        <v/>
      </c>
      <c r="C164" s="41"/>
      <c r="D164" s="41"/>
      <c r="E164" s="41"/>
      <c r="F164" s="41"/>
      <c r="G164" s="41"/>
      <c r="H164" s="41"/>
      <c r="I164" s="41"/>
      <c r="J164" s="41"/>
      <c r="K164" s="41"/>
      <c r="L164" s="41"/>
      <c r="M164" s="41"/>
      <c r="N164" s="41"/>
      <c r="O164" s="41"/>
      <c r="P164" s="41"/>
      <c r="Q164" s="41"/>
    </row>
    <row r="165" spans="1:17" x14ac:dyDescent="0.35">
      <c r="A165" s="41"/>
      <c r="B165" s="41" t="str">
        <f>IF(C69="lesen","DatenEmpfangen.observe("&amp;A86&amp;");","")</f>
        <v/>
      </c>
      <c r="C165" s="41"/>
      <c r="D165" s="41"/>
      <c r="E165" s="41"/>
      <c r="F165" s="41"/>
      <c r="G165" s="41"/>
      <c r="H165" s="41"/>
      <c r="I165" s="41"/>
      <c r="J165" s="41"/>
      <c r="K165" s="41"/>
      <c r="L165" s="41"/>
      <c r="M165" s="41"/>
      <c r="N165" s="41"/>
      <c r="O165" s="41"/>
      <c r="P165" s="41"/>
      <c r="Q165" s="41"/>
    </row>
    <row r="166" spans="1:17" x14ac:dyDescent="0.35">
      <c r="A166" s="41"/>
      <c r="B166" s="41" t="str">
        <f>IF(C44="lesen","DatenEmpfangen.observe("&amp;A87&amp;");","")</f>
        <v>DatenEmpfangen.observe(LEMC01_Taster_links_LED);</v>
      </c>
      <c r="C166" s="41"/>
      <c r="D166" s="41"/>
      <c r="E166" s="41"/>
      <c r="F166" s="41"/>
      <c r="G166" s="41"/>
      <c r="H166" s="41"/>
      <c r="I166" s="41"/>
      <c r="J166" s="41"/>
      <c r="K166" s="41"/>
      <c r="L166" s="41"/>
      <c r="M166" s="41"/>
      <c r="N166" s="41"/>
      <c r="O166" s="41"/>
      <c r="P166" s="41"/>
      <c r="Q166" s="41"/>
    </row>
    <row r="167" spans="1:17" x14ac:dyDescent="0.35">
      <c r="A167" s="41"/>
      <c r="B167" s="41" t="str">
        <f>IF(C45="lesen","DatenEmpfangen.observe("&amp;A88&amp;");","")</f>
        <v>DatenEmpfangen.observe(LEMC01_Taster_rechts_LED);</v>
      </c>
      <c r="C167" s="41"/>
      <c r="D167" s="41"/>
      <c r="E167" s="41"/>
      <c r="F167" s="41"/>
      <c r="G167" s="41"/>
      <c r="H167" s="41"/>
      <c r="I167" s="41"/>
      <c r="J167" s="41"/>
      <c r="K167" s="41"/>
      <c r="L167" s="41"/>
      <c r="M167" s="41"/>
      <c r="N167" s="41"/>
      <c r="O167" s="41"/>
      <c r="P167" s="41"/>
      <c r="Q167" s="41"/>
    </row>
    <row r="168" spans="1:17" x14ac:dyDescent="0.35">
      <c r="A168" s="41"/>
      <c r="B168" s="41" t="str">
        <f>IF(C46="lesen","DatenEmpfangen.observe("&amp;A89&amp;");","")</f>
        <v>DatenEmpfangen.observe(LEMC01_Blitz);</v>
      </c>
      <c r="C168" s="41"/>
      <c r="D168" s="41"/>
      <c r="E168" s="41"/>
      <c r="F168" s="41"/>
      <c r="G168" s="41"/>
      <c r="H168" s="41"/>
      <c r="I168" s="41"/>
      <c r="J168" s="41"/>
      <c r="K168" s="41"/>
      <c r="L168" s="41"/>
      <c r="M168" s="41"/>
      <c r="N168" s="41"/>
      <c r="O168" s="41"/>
      <c r="P168" s="41"/>
      <c r="Q168" s="41"/>
    </row>
    <row r="169" spans="1:17" x14ac:dyDescent="0.35">
      <c r="A169" s="41"/>
      <c r="B169" s="41" t="str">
        <f>IF(C47="lesen","DatenEmpfangen.observe("&amp;A90&amp;");","")</f>
        <v>DatenEmpfangen.observe(LEMC01_Relais_Fokus);</v>
      </c>
      <c r="C169" s="41"/>
      <c r="D169" s="41"/>
      <c r="E169" s="41"/>
      <c r="F169" s="41"/>
      <c r="G169" s="41"/>
      <c r="H169" s="41"/>
      <c r="I169" s="41"/>
      <c r="J169" s="41"/>
      <c r="K169" s="41"/>
      <c r="L169" s="41"/>
      <c r="M169" s="41"/>
      <c r="N169" s="41"/>
      <c r="O169" s="41"/>
      <c r="P169" s="41"/>
      <c r="Q169" s="41"/>
    </row>
    <row r="170" spans="1:17" x14ac:dyDescent="0.35">
      <c r="A170" s="41"/>
      <c r="B170" s="41" t="str">
        <f t="shared" ref="B160:B190" si="4">IF(C54="lesen","DatenEmpfangen.observe("&amp;A91&amp;");","")</f>
        <v>DatenEmpfangen.observe(LEMC01_Reserve3);</v>
      </c>
      <c r="C170" s="41"/>
      <c r="D170" s="41"/>
      <c r="E170" s="41"/>
      <c r="F170" s="41"/>
      <c r="G170" s="41"/>
      <c r="H170" s="41"/>
      <c r="I170" s="41"/>
      <c r="J170" s="41"/>
      <c r="K170" s="41"/>
      <c r="L170" s="41"/>
      <c r="M170" s="41"/>
      <c r="N170" s="41"/>
      <c r="O170" s="41"/>
      <c r="P170" s="41"/>
      <c r="Q170" s="41"/>
    </row>
    <row r="171" spans="1:17" x14ac:dyDescent="0.35">
      <c r="A171" s="41"/>
      <c r="B171" s="41" t="str">
        <f t="shared" si="4"/>
        <v>DatenEmpfangen.observe(LEMC01_Reserve4);</v>
      </c>
      <c r="C171" s="41"/>
      <c r="D171" s="41"/>
      <c r="E171" s="41"/>
      <c r="F171" s="41"/>
      <c r="G171" s="41"/>
      <c r="H171" s="41"/>
      <c r="I171" s="41"/>
      <c r="J171" s="41"/>
      <c r="K171" s="41"/>
      <c r="L171" s="41"/>
      <c r="M171" s="41"/>
      <c r="N171" s="41"/>
      <c r="O171" s="41"/>
      <c r="P171" s="41"/>
      <c r="Q171" s="41"/>
    </row>
    <row r="172" spans="1:17" x14ac:dyDescent="0.35">
      <c r="A172" s="41"/>
      <c r="B172" s="41" t="str">
        <f t="shared" si="4"/>
        <v/>
      </c>
      <c r="C172" s="41"/>
      <c r="D172" s="41"/>
      <c r="E172" s="41"/>
      <c r="F172" s="41"/>
      <c r="G172" s="41"/>
      <c r="H172" s="41"/>
      <c r="I172" s="41"/>
      <c r="J172" s="41"/>
      <c r="K172" s="41"/>
      <c r="L172" s="41"/>
      <c r="M172" s="41"/>
      <c r="N172" s="41"/>
      <c r="O172" s="41"/>
      <c r="P172" s="41"/>
      <c r="Q172" s="41"/>
    </row>
    <row r="173" spans="1:17" x14ac:dyDescent="0.35">
      <c r="A173" s="41"/>
      <c r="B173" s="41" t="str">
        <f>IF(C64="lesen","DatenEmpfangen.observe("&amp;A94&amp;");","")</f>
        <v/>
      </c>
      <c r="C173" s="41"/>
      <c r="D173" s="41"/>
      <c r="E173" s="41"/>
      <c r="F173" s="41"/>
      <c r="G173" s="41"/>
      <c r="H173" s="41"/>
      <c r="I173" s="41"/>
      <c r="J173" s="41"/>
      <c r="K173" s="41"/>
      <c r="L173" s="41"/>
      <c r="M173" s="41"/>
      <c r="N173" s="41"/>
      <c r="O173" s="41"/>
      <c r="P173" s="41"/>
      <c r="Q173" s="41"/>
    </row>
    <row r="174" spans="1:17" x14ac:dyDescent="0.35">
      <c r="A174" s="41"/>
      <c r="B174" s="41" t="str">
        <f>IF(C65="lesen","DatenEmpfangen.observe("&amp;A95&amp;");","")</f>
        <v/>
      </c>
      <c r="C174" s="41"/>
      <c r="D174" s="41"/>
      <c r="E174" s="41"/>
      <c r="F174" s="41"/>
      <c r="G174" s="41"/>
      <c r="H174" s="41"/>
      <c r="I174" s="41"/>
      <c r="J174" s="41"/>
      <c r="K174" s="41"/>
      <c r="L174" s="41"/>
      <c r="M174" s="41"/>
      <c r="N174" s="41"/>
      <c r="O174" s="41"/>
      <c r="P174" s="41"/>
      <c r="Q174" s="41"/>
    </row>
    <row r="175" spans="1:17" x14ac:dyDescent="0.35">
      <c r="A175" s="41"/>
      <c r="B175" s="41" t="str">
        <f t="shared" si="4"/>
        <v/>
      </c>
      <c r="C175" s="41"/>
      <c r="D175" s="41"/>
      <c r="E175" s="41"/>
      <c r="F175" s="41"/>
      <c r="G175" s="41"/>
      <c r="H175" s="41"/>
      <c r="I175" s="41"/>
      <c r="J175" s="41"/>
      <c r="K175" s="41"/>
      <c r="L175" s="41"/>
      <c r="M175" s="41"/>
      <c r="N175" s="41"/>
      <c r="O175" s="41"/>
      <c r="P175" s="41"/>
      <c r="Q175" s="41"/>
    </row>
    <row r="176" spans="1:17" x14ac:dyDescent="0.35">
      <c r="A176" s="41"/>
      <c r="B176" s="41" t="str">
        <f>IF(C57="lesen","DatenEmpfangen.observe("&amp;A97&amp;");","")</f>
        <v/>
      </c>
      <c r="C176" s="41"/>
      <c r="D176" s="41"/>
      <c r="E176" s="41"/>
      <c r="F176" s="41"/>
      <c r="G176" s="41"/>
      <c r="H176" s="41"/>
      <c r="I176" s="41"/>
      <c r="J176" s="41"/>
      <c r="K176" s="41"/>
      <c r="L176" s="41"/>
      <c r="M176" s="41"/>
      <c r="N176" s="41"/>
      <c r="O176" s="41"/>
      <c r="P176" s="41"/>
      <c r="Q176" s="41"/>
    </row>
    <row r="177" spans="1:17" x14ac:dyDescent="0.35">
      <c r="A177" s="41"/>
      <c r="B177" s="41" t="str">
        <f>IF(C58="lesen","DatenEmpfangen.observe("&amp;A98&amp;");","")</f>
        <v/>
      </c>
      <c r="C177" s="41"/>
      <c r="D177" s="41"/>
      <c r="E177" s="41"/>
      <c r="F177" s="41"/>
      <c r="G177" s="41"/>
      <c r="H177" s="41"/>
      <c r="I177" s="41"/>
      <c r="J177" s="41"/>
      <c r="K177" s="41"/>
      <c r="L177" s="41"/>
      <c r="M177" s="41"/>
      <c r="N177" s="41"/>
      <c r="O177" s="41"/>
      <c r="P177" s="41"/>
      <c r="Q177" s="41"/>
    </row>
    <row r="178" spans="1:17" x14ac:dyDescent="0.35">
      <c r="A178" s="41"/>
      <c r="B178" s="41" t="str">
        <f t="shared" si="4"/>
        <v/>
      </c>
      <c r="C178" s="41"/>
      <c r="D178" s="41"/>
      <c r="E178" s="41"/>
      <c r="F178" s="41"/>
      <c r="G178" s="41"/>
      <c r="H178" s="41"/>
      <c r="I178" s="41"/>
      <c r="J178" s="41"/>
      <c r="K178" s="41"/>
      <c r="L178" s="41"/>
      <c r="M178" s="41"/>
      <c r="N178" s="41"/>
      <c r="O178" s="41"/>
      <c r="P178" s="41"/>
      <c r="Q178" s="41"/>
    </row>
    <row r="179" spans="1:17" x14ac:dyDescent="0.35">
      <c r="A179" s="41"/>
      <c r="B179" s="41" t="str">
        <f t="shared" si="4"/>
        <v/>
      </c>
      <c r="C179" s="41"/>
      <c r="D179" s="41"/>
      <c r="E179" s="41"/>
      <c r="F179" s="41"/>
      <c r="G179" s="41"/>
      <c r="H179" s="41"/>
      <c r="I179" s="41"/>
      <c r="J179" s="41"/>
      <c r="K179" s="41"/>
      <c r="L179" s="41"/>
      <c r="M179" s="41"/>
      <c r="N179" s="41"/>
      <c r="O179" s="41"/>
      <c r="P179" s="41"/>
      <c r="Q179" s="41"/>
    </row>
    <row r="180" spans="1:17" x14ac:dyDescent="0.35">
      <c r="A180" s="41"/>
      <c r="B180" s="41" t="e">
        <f>IF(#REF!="lesen","DatenEmpfangen.observe("&amp;A101&amp;");","")</f>
        <v>#REF!</v>
      </c>
      <c r="C180" s="41"/>
      <c r="D180" s="41"/>
      <c r="E180" s="41"/>
      <c r="F180" s="41"/>
      <c r="G180" s="41"/>
      <c r="H180" s="41"/>
      <c r="I180" s="41"/>
      <c r="J180" s="41"/>
      <c r="K180" s="41"/>
      <c r="L180" s="41"/>
      <c r="M180" s="41"/>
      <c r="N180" s="41"/>
      <c r="O180" s="41"/>
      <c r="P180" s="41"/>
      <c r="Q180" s="41"/>
    </row>
    <row r="181" spans="1:17" x14ac:dyDescent="0.35">
      <c r="A181" s="41"/>
      <c r="B181" s="41" t="e">
        <f>IF(#REF!="lesen","DatenEmpfangen.observe("&amp;A102&amp;");","")</f>
        <v>#REF!</v>
      </c>
      <c r="C181" s="41"/>
      <c r="D181" s="41"/>
      <c r="E181" s="41"/>
      <c r="F181" s="41"/>
      <c r="G181" s="41"/>
      <c r="H181" s="41"/>
      <c r="I181" s="41"/>
      <c r="J181" s="41"/>
      <c r="K181" s="41"/>
      <c r="L181" s="41"/>
      <c r="M181" s="41"/>
      <c r="N181" s="41"/>
      <c r="O181" s="41"/>
      <c r="P181" s="41"/>
      <c r="Q181" s="41"/>
    </row>
    <row r="182" spans="1:17" x14ac:dyDescent="0.35">
      <c r="A182" s="41"/>
      <c r="B182" s="41" t="str">
        <f t="shared" si="4"/>
        <v/>
      </c>
      <c r="C182" s="41"/>
      <c r="D182" s="41"/>
      <c r="E182" s="41"/>
      <c r="F182" s="41"/>
      <c r="G182" s="41"/>
      <c r="H182" s="41"/>
      <c r="I182" s="41"/>
      <c r="J182" s="41"/>
      <c r="K182" s="41"/>
      <c r="L182" s="41"/>
      <c r="M182" s="41"/>
      <c r="N182" s="41"/>
      <c r="O182" s="41"/>
      <c r="P182" s="41"/>
      <c r="Q182" s="41"/>
    </row>
    <row r="183" spans="1:17" x14ac:dyDescent="0.35">
      <c r="A183" s="41"/>
      <c r="B183" s="41" t="str">
        <f t="shared" si="4"/>
        <v/>
      </c>
      <c r="C183" s="41"/>
      <c r="D183" s="41"/>
      <c r="E183" s="41"/>
      <c r="F183" s="41"/>
      <c r="G183" s="41"/>
      <c r="H183" s="41"/>
      <c r="I183" s="41"/>
      <c r="J183" s="41"/>
      <c r="K183" s="41"/>
      <c r="L183" s="41"/>
      <c r="M183" s="41"/>
      <c r="N183" s="41"/>
      <c r="O183" s="41"/>
      <c r="P183" s="41"/>
      <c r="Q183" s="41"/>
    </row>
    <row r="184" spans="1:17" x14ac:dyDescent="0.35">
      <c r="A184" s="41"/>
      <c r="B184" s="41" t="e">
        <f>IF(#REF!="lesen","DatenEmpfangen.observe("&amp;A105&amp;");","")</f>
        <v>#REF!</v>
      </c>
      <c r="C184" s="41"/>
      <c r="D184" s="41"/>
      <c r="E184" s="41"/>
      <c r="F184" s="41"/>
      <c r="G184" s="41"/>
      <c r="H184" s="41"/>
      <c r="I184" s="41"/>
      <c r="J184" s="41"/>
      <c r="K184" s="41"/>
      <c r="L184" s="41"/>
      <c r="M184" s="41"/>
      <c r="N184" s="41"/>
      <c r="O184" s="41"/>
      <c r="P184" s="41"/>
      <c r="Q184" s="41"/>
    </row>
    <row r="185" spans="1:17" x14ac:dyDescent="0.35">
      <c r="A185" s="41"/>
      <c r="B185" s="41" t="e">
        <f>IF(#REF!="lesen","DatenEmpfangen.observe("&amp;A106&amp;");","")</f>
        <v>#REF!</v>
      </c>
      <c r="C185" s="41"/>
      <c r="D185" s="41"/>
      <c r="E185" s="41"/>
      <c r="F185" s="41"/>
      <c r="G185" s="41"/>
      <c r="H185" s="41"/>
      <c r="I185" s="41"/>
      <c r="J185" s="41"/>
      <c r="K185" s="41"/>
      <c r="L185" s="41"/>
      <c r="M185" s="41"/>
      <c r="N185" s="41"/>
      <c r="O185" s="41"/>
      <c r="P185" s="41"/>
      <c r="Q185" s="41"/>
    </row>
    <row r="186" spans="1:17" x14ac:dyDescent="0.35">
      <c r="A186" s="41"/>
      <c r="B186" s="41" t="e">
        <f>IF(#REF!="lesen","DatenEmpfangen.observe("&amp;A107&amp;");","")</f>
        <v>#REF!</v>
      </c>
      <c r="C186" s="41"/>
      <c r="D186" s="41"/>
      <c r="E186" s="41"/>
      <c r="F186" s="41"/>
      <c r="G186" s="41"/>
      <c r="H186" s="41"/>
      <c r="I186" s="41"/>
      <c r="J186" s="41"/>
      <c r="K186" s="41"/>
      <c r="L186" s="41"/>
      <c r="M186" s="41"/>
      <c r="N186" s="41"/>
      <c r="O186" s="41"/>
      <c r="P186" s="41"/>
      <c r="Q186" s="41"/>
    </row>
    <row r="187" spans="1:17" x14ac:dyDescent="0.35">
      <c r="A187" s="41"/>
      <c r="B187" s="41" t="e">
        <f>IF(#REF!="lesen","DatenEmpfangen.observe("&amp;A108&amp;");","")</f>
        <v>#REF!</v>
      </c>
      <c r="C187" s="41"/>
      <c r="D187" s="41"/>
      <c r="E187" s="41"/>
      <c r="F187" s="41"/>
      <c r="G187" s="41"/>
      <c r="H187" s="41"/>
      <c r="I187" s="41"/>
      <c r="J187" s="41"/>
      <c r="K187" s="41"/>
      <c r="L187" s="41"/>
      <c r="M187" s="41"/>
      <c r="N187" s="41"/>
      <c r="O187" s="41"/>
      <c r="P187" s="41"/>
      <c r="Q187" s="41"/>
    </row>
    <row r="188" spans="1:17" x14ac:dyDescent="0.35">
      <c r="A188" s="41"/>
      <c r="B188" s="41" t="e">
        <f>IF(#REF!="lesen","DatenEmpfangen.observe("&amp;A109&amp;");","")</f>
        <v>#REF!</v>
      </c>
      <c r="C188" s="41"/>
      <c r="D188" s="41"/>
      <c r="E188" s="41"/>
      <c r="F188" s="41"/>
      <c r="G188" s="41"/>
      <c r="H188" s="41"/>
      <c r="I188" s="41"/>
      <c r="J188" s="41"/>
      <c r="K188" s="41"/>
      <c r="L188" s="41"/>
      <c r="M188" s="41"/>
      <c r="N188" s="41"/>
      <c r="O188" s="41"/>
      <c r="P188" s="41"/>
      <c r="Q188" s="41"/>
    </row>
    <row r="189" spans="1:17" x14ac:dyDescent="0.35">
      <c r="A189" s="41"/>
      <c r="B189" s="41" t="e">
        <f>IF(#REF!="lesen","DatenEmpfangen.observe("&amp;A110&amp;");","")</f>
        <v>#REF!</v>
      </c>
      <c r="C189" s="41"/>
      <c r="D189" s="41"/>
      <c r="E189" s="41"/>
      <c r="F189" s="41"/>
      <c r="G189" s="41"/>
      <c r="H189" s="41"/>
      <c r="I189" s="41"/>
      <c r="J189" s="41"/>
      <c r="K189" s="41"/>
      <c r="L189" s="41"/>
      <c r="M189" s="41"/>
      <c r="N189" s="41"/>
      <c r="O189" s="41"/>
      <c r="P189" s="41"/>
      <c r="Q189" s="41"/>
    </row>
    <row r="190" spans="1:17" x14ac:dyDescent="0.35">
      <c r="A190" s="41"/>
      <c r="B190" s="41" t="str">
        <f t="shared" si="4"/>
        <v/>
      </c>
      <c r="C190" s="41"/>
      <c r="D190" s="41"/>
      <c r="E190" s="41"/>
      <c r="F190" s="41"/>
      <c r="G190" s="41"/>
      <c r="H190" s="41"/>
      <c r="I190" s="41"/>
      <c r="J190" s="41"/>
      <c r="K190" s="41"/>
      <c r="L190" s="41"/>
      <c r="M190" s="41"/>
      <c r="N190" s="41"/>
      <c r="O190" s="41"/>
      <c r="P190" s="41"/>
      <c r="Q190" s="41"/>
    </row>
    <row r="194" spans="1:3" x14ac:dyDescent="0.35">
      <c r="A194" s="59" t="s">
        <v>70</v>
      </c>
      <c r="B194" s="59"/>
      <c r="C194" s="59"/>
    </row>
  </sheetData>
  <autoFilter ref="C42:C74" xr:uid="{EB701151-AE56-4D4F-BFD7-0B3054A7B60E}">
    <sortState xmlns:xlrd2="http://schemas.microsoft.com/office/spreadsheetml/2017/richdata2" ref="A43:E74">
      <sortCondition ref="C42:C74"/>
    </sortState>
  </autoFilter>
  <sortState xmlns:xlrd2="http://schemas.microsoft.com/office/spreadsheetml/2017/richdata2" ref="C43:C74">
    <sortCondition ref="C43:C74"/>
  </sortState>
  <mergeCells count="28">
    <mergeCell ref="B18:E18"/>
    <mergeCell ref="B13:E13"/>
    <mergeCell ref="B14:E14"/>
    <mergeCell ref="B15:E15"/>
    <mergeCell ref="B16:E16"/>
    <mergeCell ref="B17:E17"/>
    <mergeCell ref="B4:E4"/>
    <mergeCell ref="B5:E5"/>
    <mergeCell ref="B7:E7"/>
    <mergeCell ref="B8:E8"/>
    <mergeCell ref="B9:E9"/>
    <mergeCell ref="B6:E6"/>
    <mergeCell ref="B10:E10"/>
    <mergeCell ref="B11:E11"/>
    <mergeCell ref="B12:E12"/>
    <mergeCell ref="A28:A38"/>
    <mergeCell ref="A18:A27"/>
    <mergeCell ref="B19:E19"/>
    <mergeCell ref="B20:E20"/>
    <mergeCell ref="B21:E21"/>
    <mergeCell ref="B28:E38"/>
    <mergeCell ref="A9:A17"/>
    <mergeCell ref="B22:E22"/>
    <mergeCell ref="B23:E23"/>
    <mergeCell ref="B24:E24"/>
    <mergeCell ref="B25:E25"/>
    <mergeCell ref="B26:E26"/>
    <mergeCell ref="B27:E27"/>
  </mergeCells>
  <dataValidations count="2">
    <dataValidation type="list" allowBlank="1" showInputMessage="1" showErrorMessage="1" sqref="B43:B73" xr:uid="{E23397A7-2A20-468F-AE7B-1690C20A18EA}">
      <formula1>$B$41</formula1>
    </dataValidation>
    <dataValidation type="list" allowBlank="1" showInputMessage="1" showErrorMessage="1" sqref="C43:C74" xr:uid="{45229192-8700-4D3B-9325-628A215C7236}">
      <formula1>$C$40:$C$41</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ArduinoSketchErstellen">
                <anchor moveWithCells="1" sizeWithCells="1">
                  <from>
                    <xdr:col>0</xdr:col>
                    <xdr:colOff>266700</xdr:colOff>
                    <xdr:row>194</xdr:row>
                    <xdr:rowOff>57150</xdr:rowOff>
                  </from>
                  <to>
                    <xdr:col>3</xdr:col>
                    <xdr:colOff>1746250</xdr:colOff>
                    <xdr:row>198</xdr:row>
                    <xdr:rowOff>88900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Übersicht</vt:lpstr>
      <vt:lpstr>LE</vt:lpstr>
      <vt:lpstr>MC01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Borowski | HERMOS SYSTEMS</dc:creator>
  <cp:lastModifiedBy>Sven Borowski</cp:lastModifiedBy>
  <dcterms:created xsi:type="dcterms:W3CDTF">2021-07-06T09:19:01Z</dcterms:created>
  <dcterms:modified xsi:type="dcterms:W3CDTF">2021-08-01T12:21:28Z</dcterms:modified>
</cp:coreProperties>
</file>